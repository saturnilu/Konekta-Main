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BF9998-3283-49E0-9F30-7368FD5ED269}" xr6:coauthVersionLast="47" xr6:coauthVersionMax="47" xr10:uidLastSave="{00000000-0000-0000-0000-000000000000}"/>
  <bookViews>
    <workbookView xWindow="-98" yWindow="-98" windowWidth="23236" windowHeight="13875" tabRatio="500" activeTab="1" xr2:uid="{00000000-000D-0000-FFFF-FFFF00000000}"/>
  </bookViews>
  <sheets>
    <sheet name="Summary" sheetId="1" r:id="rId1"/>
    <sheet name="Test Case Matrix" sheetId="2" r:id="rId2"/>
  </sheets>
  <definedNames>
    <definedName name="_xlnm._FilterDatabase" localSheetId="1" hidden="1">'Test Case Matrix'!$A$1:$M$119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1" l="1"/>
  <c r="D41" i="1"/>
  <c r="C41" i="1"/>
  <c r="B41" i="1"/>
  <c r="D40" i="1"/>
  <c r="C40" i="1"/>
  <c r="B40" i="1"/>
  <c r="D39" i="1"/>
  <c r="C39" i="1"/>
  <c r="B39" i="1"/>
  <c r="D38" i="1"/>
  <c r="C38" i="1"/>
  <c r="B38" i="1"/>
  <c r="D34" i="1"/>
  <c r="C34" i="1"/>
  <c r="B34" i="1"/>
  <c r="D33" i="1"/>
  <c r="C33" i="1"/>
  <c r="B33" i="1"/>
  <c r="D32" i="1"/>
  <c r="C32" i="1"/>
  <c r="B32" i="1"/>
  <c r="D31" i="1"/>
  <c r="C31" i="1"/>
  <c r="B31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B9" i="1"/>
  <c r="B8" i="1"/>
  <c r="B7" i="1"/>
  <c r="B6" i="1"/>
  <c r="B4" i="1"/>
</calcChain>
</file>

<file path=xl/sharedStrings.xml><?xml version="1.0" encoding="utf-8"?>
<sst xmlns="http://schemas.openxmlformats.org/spreadsheetml/2006/main" count="3144" uniqueCount="671">
  <si>
    <t>Konekta API — QA Test Case Matrix: Summary</t>
  </si>
  <si>
    <t>Overall</t>
  </si>
  <si>
    <t>Total test cases</t>
  </si>
  <si>
    <t>Pass</t>
  </si>
  <si>
    <t>Fail</t>
  </si>
  <si>
    <t>Blocked</t>
  </si>
  <si>
    <t>Not Run</t>
  </si>
  <si>
    <t>Pass rate</t>
  </si>
  <si>
    <t>By Module</t>
  </si>
  <si>
    <t>Module</t>
  </si>
  <si>
    <t>Total</t>
  </si>
  <si>
    <t>Auth</t>
  </si>
  <si>
    <t>Google OAuth</t>
  </si>
  <si>
    <t>Profile</t>
  </si>
  <si>
    <t>Discovery</t>
  </si>
  <si>
    <t>Offers</t>
  </si>
  <si>
    <t>Video</t>
  </si>
  <si>
    <t>Chat</t>
  </si>
  <si>
    <t>Notifications</t>
  </si>
  <si>
    <t>Dashboard</t>
  </si>
  <si>
    <t>Analytics</t>
  </si>
  <si>
    <t>Subscriptions</t>
  </si>
  <si>
    <t>Social</t>
  </si>
  <si>
    <t>Withdrawals</t>
  </si>
  <si>
    <t>Payment Methods</t>
  </si>
  <si>
    <t>System</t>
  </si>
  <si>
    <t>By Priority</t>
  </si>
  <si>
    <t>Priority</t>
  </si>
  <si>
    <t>P0</t>
  </si>
  <si>
    <t>P1</t>
  </si>
  <si>
    <t>P2</t>
  </si>
  <si>
    <t>P3</t>
  </si>
  <si>
    <t>By Case Type</t>
  </si>
  <si>
    <t>Case Type</t>
  </si>
  <si>
    <t>Positive</t>
  </si>
  <si>
    <t>Negative</t>
  </si>
  <si>
    <t>Boundary</t>
  </si>
  <si>
    <t>Security</t>
  </si>
  <si>
    <t>Bugs Found (see Bug Report for full detail)</t>
  </si>
  <si>
    <t>Total bugs found</t>
  </si>
  <si>
    <t>Bugs fixed</t>
  </si>
  <si>
    <t>Critical (P0)</t>
  </si>
  <si>
    <t>Medium (P2)</t>
  </si>
  <si>
    <t>Low (P3)</t>
  </si>
  <si>
    <t>Automation</t>
  </si>
  <si>
    <t>102-request Postman collection, Newman CLI, GitHub Actions CI</t>
  </si>
  <si>
    <t>Load testing</t>
  </si>
  <si>
    <t>ID</t>
  </si>
  <si>
    <t>Endpoint</t>
  </si>
  <si>
    <t>Method</t>
  </si>
  <si>
    <t>Auth Required</t>
  </si>
  <si>
    <t>Test Case Description</t>
  </si>
  <si>
    <t>Precondition</t>
  </si>
  <si>
    <t>Test Data / Input</t>
  </si>
  <si>
    <t>Expected Result</t>
  </si>
  <si>
    <t>Status</t>
  </si>
  <si>
    <t>Notes</t>
  </si>
  <si>
    <t>TC-001</t>
  </si>
  <si>
    <t>/auth/register</t>
  </si>
  <si>
    <t>POST</t>
  </si>
  <si>
    <t>No</t>
  </si>
  <si>
    <t>Register new influencer with valid data</t>
  </si>
  <si>
    <t>No existing account with this email</t>
  </si>
  <si>
    <t>{name, email, password&gt;=6, role:influencer}</t>
  </si>
  <si>
    <t>201 Created, returns user + token</t>
  </si>
  <si>
    <t>201, account created correctly</t>
  </si>
  <si>
    <t>TC-002</t>
  </si>
  <si>
    <t>Register new brand with valid data</t>
  </si>
  <si>
    <t>No existing account</t>
  </si>
  <si>
    <t>{..., role:brand, brand_name}</t>
  </si>
  <si>
    <t>201 Created</t>
  </si>
  <si>
    <t>201, brand account created correctly</t>
  </si>
  <si>
    <t>TC-003</t>
  </si>
  <si>
    <t>Register with duplicate email</t>
  </si>
  <si>
    <t>Account already exists</t>
  </si>
  <si>
    <t>Existing email</t>
  </si>
  <si>
    <t>4xx, clear error message, no duplicate row created</t>
  </si>
  <si>
    <t>409 duplicate email, confirmed again</t>
  </si>
  <si>
    <t>TC-004</t>
  </si>
  <si>
    <t>Register with invalid email format</t>
  </si>
  <si>
    <t>-</t>
  </si>
  <si>
    <t>email: 'not-an-email'</t>
  </si>
  <si>
    <t>400, Zod validation error on email</t>
  </si>
  <si>
    <t>400 Zod validation</t>
  </si>
  <si>
    <t>TC-005</t>
  </si>
  <si>
    <t>Password exactly 5 chars (below min 6)</t>
  </si>
  <si>
    <t>password: '12345'</t>
  </si>
  <si>
    <t>400, validation error</t>
  </si>
  <si>
    <t>400 correctly rejected</t>
  </si>
  <si>
    <t>TC-006</t>
  </si>
  <si>
    <t>Password exactly 6 chars (min boundary)</t>
  </si>
  <si>
    <t>password: '123456'</t>
  </si>
  <si>
    <t>201, exactly 6 chars accepted at boundary</t>
  </si>
  <si>
    <t>TC-007</t>
  </si>
  <si>
    <t>Name exactly 1 char (below min 2)</t>
  </si>
  <si>
    <t>name: 'A'</t>
  </si>
  <si>
    <t>400, 1-char name rejected below min</t>
  </si>
  <si>
    <t>TC-008</t>
  </si>
  <si>
    <t>Register with invalid role value</t>
  </si>
  <si>
    <t>role: 'admin'</t>
  </si>
  <si>
    <t>400, Zod enum validation error</t>
  </si>
  <si>
    <t>400 Zod enum error</t>
  </si>
  <si>
    <t>TC-009</t>
  </si>
  <si>
    <t>SQLi-style payload in name field</t>
  </si>
  <si>
    <t>name: "' OR 1=1 --"</t>
  </si>
  <si>
    <t>201 or 400, but no DB error/leak, value stored safely escaped</t>
  </si>
  <si>
    <t>201, payload stored safely as literal string, no SQL error</t>
  </si>
  <si>
    <t>TC-010</t>
  </si>
  <si>
    <t>XSS payload in name field</t>
  </si>
  <si>
    <t>name: '&lt;script&gt;alert(1)&lt;/script&gt;'</t>
  </si>
  <si>
    <t>Stored as literal text, not executed when rendered client-side</t>
  </si>
  <si>
    <t>201, stored literally, not executed</t>
  </si>
  <si>
    <t>TC-011</t>
  </si>
  <si>
    <t>/auth/login</t>
  </si>
  <si>
    <t>Login with correct email/password</t>
  </si>
  <si>
    <t>Registered account exists</t>
  </si>
  <si>
    <t>Valid credentials</t>
  </si>
  <si>
    <t>200, returns JWT + user object</t>
  </si>
  <si>
    <t>200, correct token and user data returned</t>
  </si>
  <si>
    <t>TC-012</t>
  </si>
  <si>
    <t>Login with wrong password</t>
  </si>
  <si>
    <t>Account exists</t>
  </si>
  <si>
    <t>Wrong password</t>
  </si>
  <si>
    <t>401, generic 'invalid credentials' (no user-enumeration hint)</t>
  </si>
  <si>
    <t>401 generic message, no user enumeration</t>
  </si>
  <si>
    <t>TC-013</t>
  </si>
  <si>
    <t>Login with non-existent email</t>
  </si>
  <si>
    <t>Unregistered email</t>
  </si>
  <si>
    <t>401, same generic message as wrong-password case</t>
  </si>
  <si>
    <t>401 same generic message as wrong-password</t>
  </si>
  <si>
    <t>TC-014</t>
  </si>
  <si>
    <t>Login with missing password field</t>
  </si>
  <si>
    <t>{email only}</t>
  </si>
  <si>
    <t>400, Zod validation error</t>
  </si>
  <si>
    <t>400 Zod 'password: Required'</t>
  </si>
  <si>
    <t>TC-015</t>
  </si>
  <si>
    <t>Brute-force 25 login attempts in &lt;15min from same IP</t>
  </si>
  <si>
    <t>25x invalid login</t>
  </si>
  <si>
    <t>After 20th, 429 Too Many Requests</t>
  </si>
  <si>
    <t>429 triggered correctly once budget exhausted</t>
  </si>
  <si>
    <t>TC-016</t>
  </si>
  <si>
    <t>/auth/logout</t>
  </si>
  <si>
    <t>Logout call succeeds regardless of token state</t>
  </si>
  <si>
    <t>200 OK</t>
  </si>
  <si>
    <t>200, logout succeeds (stateless JWT, no server-side invalidation needed)</t>
  </si>
  <si>
    <t>TC-017</t>
  </si>
  <si>
    <t>/auth/forgot-password</t>
  </si>
  <si>
    <t>Request reset for existing email</t>
  </si>
  <si>
    <t>Valid email</t>
  </si>
  <si>
    <t>200, generic 'if exists...' message</t>
  </si>
  <si>
    <t>200, dev_token included since NODE_ENV=development, gated correctly for prod</t>
  </si>
  <si>
    <t>TC-018</t>
  </si>
  <si>
    <t>Request reset for non-existent email</t>
  </si>
  <si>
    <t>200 with SAME generic message (no user enumeration)</t>
  </si>
  <si>
    <t>Same generic message as existing-email case, no enumeration</t>
  </si>
  <si>
    <t>TC-019</t>
  </si>
  <si>
    <t>/auth/reset-password</t>
  </si>
  <si>
    <t>Reset with invalid/expired token</t>
  </si>
  <si>
    <t>token: 'short', password valid</t>
  </si>
  <si>
    <t>400/401, clear error, password NOT changed</t>
  </si>
  <si>
    <t>Not directly tested this pass; token min-length case passed</t>
  </si>
  <si>
    <t>TC-020</t>
  </si>
  <si>
    <t>Token shorter than min(10)</t>
  </si>
  <si>
    <t>token: '123'</t>
  </si>
  <si>
    <t>400 Zod validation error</t>
  </si>
  <si>
    <t>TC-021</t>
  </si>
  <si>
    <t>/auth/change-password</t>
  </si>
  <si>
    <t>Yes</t>
  </si>
  <si>
    <t>Change password with correct current password</t>
  </si>
  <si>
    <t>Logged in, valid token</t>
  </si>
  <si>
    <t>current+new password</t>
  </si>
  <si>
    <t>200, subsequent login uses new password</t>
  </si>
  <si>
    <t>200, password changed and old password subsequently rejected</t>
  </si>
  <si>
    <t>TC-022</t>
  </si>
  <si>
    <t>Change password with wrong current password</t>
  </si>
  <si>
    <t>Logged in</t>
  </si>
  <si>
    <t>Wrong current_password</t>
  </si>
  <si>
    <t>401/400, password unchanged</t>
  </si>
  <si>
    <t>400 'Current password is incorrect'</t>
  </si>
  <si>
    <t>TC-023</t>
  </si>
  <si>
    <t>Call without Authorization header</t>
  </si>
  <si>
    <t>Not logged in</t>
  </si>
  <si>
    <t>401 Missing or invalid Authorization header</t>
  </si>
  <si>
    <t>TC-024</t>
  </si>
  <si>
    <t>Call with expired/invalid JWT</t>
  </si>
  <si>
    <t>Malformed token</t>
  </si>
  <si>
    <t>Authorization: Bearer invalidtoken</t>
  </si>
  <si>
    <t>401 Invalid or expired token</t>
  </si>
  <si>
    <t>401, forged-secret token correctly rejected</t>
  </si>
  <si>
    <t>TC-025</t>
  </si>
  <si>
    <t>/auth/google</t>
  </si>
  <si>
    <t>GET</t>
  </si>
  <si>
    <t>Hit google auth redirect entrypoint</t>
  </si>
  <si>
    <t>302 redirect to Google consent screen</t>
  </si>
  <si>
    <t>Rate-limited (429) during this pass due to cumulative /auth/* calls in the same test session; needs isolated retest</t>
  </si>
  <si>
    <t>TC-026</t>
  </si>
  <si>
    <t>/auth/google/callback</t>
  </si>
  <si>
    <t>Callback hit without a valid code param</t>
  </si>
  <si>
    <t>No/garbage code</t>
  </si>
  <si>
    <t>Graceful 4xx, not a 500/crash</t>
  </si>
  <si>
    <t>Rate-limited (429) during this pass; needs isolated retest</t>
  </si>
  <si>
    <t>TC-027</t>
  </si>
  <si>
    <t>/auth/google/mobile</t>
  </si>
  <si>
    <t>Mobile google auth with invalid id_token</t>
  </si>
  <si>
    <t>garbage token</t>
  </si>
  <si>
    <t>401/400, no crash</t>
  </si>
  <si>
    <t>TC-028</t>
  </si>
  <si>
    <t>/auth/google/idtoken</t>
  </si>
  <si>
    <t>idtoken endpoint with malformed payload</t>
  </si>
  <si>
    <t>{}</t>
  </si>
  <si>
    <t>400 validation error</t>
  </si>
  <si>
    <t>TC-029</t>
  </si>
  <si>
    <t>/profile/me</t>
  </si>
  <si>
    <t>Get own profile</t>
  </si>
  <si>
    <t>200, correct user profile fields for role</t>
  </si>
  <si>
    <t>200, correct profile data returned</t>
  </si>
  <si>
    <t>TC-030</t>
  </si>
  <si>
    <t>Get profile without token</t>
  </si>
  <si>
    <t>401</t>
  </si>
  <si>
    <t>401 without token</t>
  </si>
  <si>
    <t>TC-031</t>
  </si>
  <si>
    <t>PUT</t>
  </si>
  <si>
    <t>Update own profile with valid fields</t>
  </si>
  <si>
    <t>valid name/bio</t>
  </si>
  <si>
    <t>200, updated fields persisted</t>
  </si>
  <si>
    <t>200, bio updated correctly</t>
  </si>
  <si>
    <t>TC-032</t>
  </si>
  <si>
    <t>IDOR: attempt to pass another user's id in body</t>
  </si>
  <si>
    <t>Logged in as User A</t>
  </si>
  <si>
    <t>{id: &lt;UserB id&gt;, ...}</t>
  </si>
  <si>
    <t>Update applies ONLY to req.user.id (A), not B</t>
  </si>
  <si>
    <t>200, but the foreign 'id' field in body is ignored; update always scopes to req.user.id. Leo's data confirmed untouched</t>
  </si>
  <si>
    <t>TC-033</t>
  </si>
  <si>
    <t>/profile/brand</t>
  </si>
  <si>
    <t>Influencer account calls brand-only update</t>
  </si>
  <si>
    <t>Logged in as influencer</t>
  </si>
  <si>
    <t>valid brand payload</t>
  </si>
  <si>
    <t>403 Forbidden for this role (if role-gated) — flag if NOT gated</t>
  </si>
  <si>
    <t>403 'Only brands can update brand details'</t>
  </si>
  <si>
    <t>TC-034</t>
  </si>
  <si>
    <t>/profile/influencer/social-media</t>
  </si>
  <si>
    <t>Add valid social media handle</t>
  </si>
  <si>
    <t>{platform, handle}</t>
  </si>
  <si>
    <t>201, handle saved</t>
  </si>
  <si>
    <t>201, social handle added</t>
  </si>
  <si>
    <t>TC-035</t>
  </si>
  <si>
    <t>/profile/avatar</t>
  </si>
  <si>
    <t>Upload valid image avatar</t>
  </si>
  <si>
    <t>JPEG &lt; size limit</t>
  </si>
  <si>
    <t>200, avatar URL returned</t>
  </si>
  <si>
    <t>Requires multipart file upload, not covered by curl-based pass; needs Postman/dedicated test</t>
  </si>
  <si>
    <t>TC-036</t>
  </si>
  <si>
    <t>Upload non-image file as avatar</t>
  </si>
  <si>
    <t>.exe or .pdf file</t>
  </si>
  <si>
    <t>400/415 rejected, not silently stored</t>
  </si>
  <si>
    <t>Requires multipart file upload; needs Postman/dedicated test</t>
  </si>
  <si>
    <t>TC-037</t>
  </si>
  <si>
    <t>Upload without auth</t>
  </si>
  <si>
    <t>401 without auth, confirmed</t>
  </si>
  <si>
    <t>TC-038</t>
  </si>
  <si>
    <t>/influencers</t>
  </si>
  <si>
    <t>List influencers, default pagination</t>
  </si>
  <si>
    <t>200, array of influencer summaries</t>
  </si>
  <si>
    <t>200, paginated list returned correctly</t>
  </si>
  <si>
    <t>TC-039</t>
  </si>
  <si>
    <t>/brands</t>
  </si>
  <si>
    <t>List brands, default pagination</t>
  </si>
  <si>
    <t>200, array of brand summaries</t>
  </si>
  <si>
    <t>TC-040</t>
  </si>
  <si>
    <t>/influencers/:id</t>
  </si>
  <si>
    <t>Get single influencer by valid id</t>
  </si>
  <si>
    <t>Existing influencer id</t>
  </si>
  <si>
    <t>200, full profile</t>
  </si>
  <si>
    <t>200, correct influencer detail</t>
  </si>
  <si>
    <t>TC-041</t>
  </si>
  <si>
    <t>Get influencer with non-existent id</t>
  </si>
  <si>
    <t>id: 999999</t>
  </si>
  <si>
    <t>404</t>
  </si>
  <si>
    <t>404 'Influencer not found'</t>
  </si>
  <si>
    <t>TC-042</t>
  </si>
  <si>
    <t>Get influencer with non-numeric id</t>
  </si>
  <si>
    <t>id: 'abc'</t>
  </si>
  <si>
    <t>400/404, not a 500 crash</t>
  </si>
  <si>
    <t>TC-043</t>
  </si>
  <si>
    <t>/brands/:id</t>
  </si>
  <si>
    <t>Get brand with non-existent id</t>
  </si>
  <si>
    <t>404 'Brand not found'</t>
  </si>
  <si>
    <t>TC-044</t>
  </si>
  <si>
    <t>/offers</t>
  </si>
  <si>
    <t>List public offers</t>
  </si>
  <si>
    <t>200, only is_public=1 offers returned</t>
  </si>
  <si>
    <t>200, only is_public offers returned</t>
  </si>
  <si>
    <t>TC-045</t>
  </si>
  <si>
    <t>Pass role=brand query without auth token</t>
  </si>
  <si>
    <t>?role=brand</t>
  </si>
  <si>
    <t>Should NOT leak brand-scoped private data to anonymous caller</t>
  </si>
  <si>
    <t>Returns empty array, no data leak (req.user undefined -&gt; filters on id=0)</t>
  </si>
  <si>
    <t>TC-046</t>
  </si>
  <si>
    <t>/offers/mine</t>
  </si>
  <si>
    <t>Brand lists own offers</t>
  </si>
  <si>
    <t>Logged in as brand</t>
  </si>
  <si>
    <t>200, only offers owned by this brand_user_id</t>
  </si>
  <si>
    <t>200, only Brand1's own offers returned</t>
  </si>
  <si>
    <t>TC-047</t>
  </si>
  <si>
    <t>Call without auth</t>
  </si>
  <si>
    <t>TC-048</t>
  </si>
  <si>
    <t>/offers/applications/mine</t>
  </si>
  <si>
    <t>Influencer lists own applications</t>
  </si>
  <si>
    <t>200, only own applications</t>
  </si>
  <si>
    <t>200, only own applications returned</t>
  </si>
  <si>
    <t>TC-049</t>
  </si>
  <si>
    <t>Brand creates valid offer/campaign</t>
  </si>
  <si>
    <t>valid {title,budget,...}</t>
  </si>
  <si>
    <t>201, offer created with correct brand_user_id</t>
  </si>
  <si>
    <t>201, offer created correctly</t>
  </si>
  <si>
    <t>TC-050</t>
  </si>
  <si>
    <t>Influencer attempts to create an offer</t>
  </si>
  <si>
    <t>valid offer payload</t>
  </si>
  <si>
    <t>403 'Only brands can create offers'</t>
  </si>
  <si>
    <t>TC-051</t>
  </si>
  <si>
    <t>Create offer with negative budget</t>
  </si>
  <si>
    <t>budget: -100</t>
  </si>
  <si>
    <t>400, Zod 'positive' validation error</t>
  </si>
  <si>
    <t>400 Zod 'Number must be greater than 0'</t>
  </si>
  <si>
    <t>TC-052</t>
  </si>
  <si>
    <t>Title exactly 1 char (below min 2)</t>
  </si>
  <si>
    <t>title: 'A'</t>
  </si>
  <si>
    <t>400 Zod min-length validation</t>
  </si>
  <si>
    <t>TC-053</t>
  </si>
  <si>
    <t>Title exactly 160 chars (max boundary)</t>
  </si>
  <si>
    <t>title: 160-char string</t>
  </si>
  <si>
    <t>201, exactly 160 chars accepted at boundary</t>
  </si>
  <si>
    <t>TC-054</t>
  </si>
  <si>
    <t>Title 161 chars (over max)</t>
  </si>
  <si>
    <t>title: 161-char string</t>
  </si>
  <si>
    <t>400, 161 chars rejected over max</t>
  </si>
  <si>
    <t>TC-055</t>
  </si>
  <si>
    <t>XSS payload in brief field</t>
  </si>
  <si>
    <t>brief: '&lt;img src=x onerror=alert(1)&gt;'</t>
  </si>
  <si>
    <t>Stored literally; not executed on render</t>
  </si>
  <si>
    <t>TC-056</t>
  </si>
  <si>
    <t>/offers/:id</t>
  </si>
  <si>
    <t>Get offer detail (public)</t>
  </si>
  <si>
    <t>Existing offer id</t>
  </si>
  <si>
    <t>200, full offer detail</t>
  </si>
  <si>
    <t>200, public offer detail returned</t>
  </si>
  <si>
    <t>TC-057</t>
  </si>
  <si>
    <t>IDOR: Brand A edits Brand B's offer by id</t>
  </si>
  <si>
    <t>Logged in as Brand A, target offer owned by Brand B</t>
  </si>
  <si>
    <t>valid update payload</t>
  </si>
  <si>
    <t>403/404 — must NOT succeed</t>
  </si>
  <si>
    <t>TC-058</t>
  </si>
  <si>
    <t>/offers/:id/applicants</t>
  </si>
  <si>
    <t>IDOR: Brand A views applicants of Brand B's offer</t>
  </si>
  <si>
    <t>Logged in as Brand A</t>
  </si>
  <si>
    <t>target = Brand B's offer id</t>
  </si>
  <si>
    <t>403 'Not your offer'</t>
  </si>
  <si>
    <t>TC-059</t>
  </si>
  <si>
    <t>/offers/:id/apply</t>
  </si>
  <si>
    <t>Influencer applies to open public offer</t>
  </si>
  <si>
    <t>Logged in as influencer, offer is public &amp; open</t>
  </si>
  <si>
    <t>valid application</t>
  </si>
  <si>
    <t>201, application recorded</t>
  </si>
  <si>
    <t>201, application submitted</t>
  </si>
  <si>
    <t>TC-060</t>
  </si>
  <si>
    <t>Influencer applies twice to same offer</t>
  </si>
  <si>
    <t>Already applied once</t>
  </si>
  <si>
    <t>same offer id</t>
  </si>
  <si>
    <t>4xx duplicate-application error (not silent duplicate row)</t>
  </si>
  <si>
    <t>409 'You already applied to this offer' on 2nd attempt</t>
  </si>
  <si>
    <t>TC-061</t>
  </si>
  <si>
    <t>Brand attempts to apply to an offer</t>
  </si>
  <si>
    <t>403 'Only influencers can apply'</t>
  </si>
  <si>
    <t>TC-062</t>
  </si>
  <si>
    <t>/offers/:id/applicants/:appId/status</t>
  </si>
  <si>
    <t>PATCH</t>
  </si>
  <si>
    <t>Brand approves a valid applicant</t>
  </si>
  <si>
    <t>Logged in as offer owner brand</t>
  </si>
  <si>
    <t>{status:'approved'}</t>
  </si>
  <si>
    <t>200, status updated</t>
  </si>
  <si>
    <t>200, applicant status updated by owning brand</t>
  </si>
  <si>
    <t>TC-063</t>
  </si>
  <si>
    <t>IDOR: Brand B sets status on Brand A's applicant</t>
  </si>
  <si>
    <t>Logged in as Brand B</t>
  </si>
  <si>
    <t>target belongs to Brand A's offer</t>
  </si>
  <si>
    <t>403 'Not your offer', applicant status confirmed unchanged in DB</t>
  </si>
  <si>
    <t>TC-064</t>
  </si>
  <si>
    <t>Invalid status enum value</t>
  </si>
  <si>
    <t>Logged in as owner brand</t>
  </si>
  <si>
    <t>{status:'maybe'}</t>
  </si>
  <si>
    <t>400 Zod enum validation error</t>
  </si>
  <si>
    <t>TC-065</t>
  </si>
  <si>
    <t>/offers/:id/progress</t>
  </si>
  <si>
    <t>Milestone field empty string (below min 1)</t>
  </si>
  <si>
    <t>Logged in, valid offer context</t>
  </si>
  <si>
    <t>milestone: ''</t>
  </si>
  <si>
    <t>400, empty milestone rejected</t>
  </si>
  <si>
    <t>TC-066</t>
  </si>
  <si>
    <t>/videos</t>
  </si>
  <si>
    <t>List own video submissions</t>
  </si>
  <si>
    <t>200, own submissions only</t>
  </si>
  <si>
    <t>TC-067</t>
  </si>
  <si>
    <t>Submit valid video link/metadata</t>
  </si>
  <si>
    <t>Logged in as influencer, active offer</t>
  </si>
  <si>
    <t>valid TikTok/IG link</t>
  </si>
  <si>
    <t>201, submission recorded, status pending</t>
  </si>
  <si>
    <t>TC-068</t>
  </si>
  <si>
    <t>Submit malformed / non-video URL</t>
  </si>
  <si>
    <t>url: 'not-a-url'</t>
  </si>
  <si>
    <t>TC-069</t>
  </si>
  <si>
    <t>/videos/:videoId/refresh</t>
  </si>
  <si>
    <t>Refresh stats for own video</t>
  </si>
  <si>
    <t>Owns the video</t>
  </si>
  <si>
    <t>valid videoId</t>
  </si>
  <si>
    <t>200, updated view/like counts</t>
  </si>
  <si>
    <t>TC-070</t>
  </si>
  <si>
    <t>IDOR: refresh someone else's video by id</t>
  </si>
  <si>
    <t>videoId belongs to another user</t>
  </si>
  <si>
    <t>TC-071</t>
  </si>
  <si>
    <t>/videos/brand/:influencerId</t>
  </si>
  <si>
    <t>IDOR: Brand A views Brand B's influencer video list</t>
  </si>
  <si>
    <t>Logged in as Brand A, no relationship to influencerId</t>
  </si>
  <si>
    <t>TC-072</t>
  </si>
  <si>
    <t>/videos/brand/:influencerId/pay</t>
  </si>
  <si>
    <t>Brand pays influencer for completed deliverable</t>
  </si>
  <si>
    <t>Valid brand-influencer relationship, campaign complete</t>
  </si>
  <si>
    <t>valid payment payload</t>
  </si>
  <si>
    <t>200, payment recorded, balance updated</t>
  </si>
  <si>
    <t>TC-073</t>
  </si>
  <si>
    <t>Brand pays influencer with no active relationship/offer</t>
  </si>
  <si>
    <t>No offer/application link exists</t>
  </si>
  <si>
    <t>TC-074</t>
  </si>
  <si>
    <t>/videos/brand/:influencerId/recalculate</t>
  </si>
  <si>
    <t>Recalculate reward based on view/like targets</t>
  </si>
  <si>
    <t>Valid data present</t>
  </si>
  <si>
    <t>200, recalculated figures match target formula</t>
  </si>
  <si>
    <t>TC-075</t>
  </si>
  <si>
    <t>/conversations</t>
  </si>
  <si>
    <t>List own conversations</t>
  </si>
  <si>
    <t>200, only conversations user is a participant in</t>
  </si>
  <si>
    <t>200, own conversations returned correctly</t>
  </si>
  <si>
    <t>TC-076</t>
  </si>
  <si>
    <t>401 (flag if currently NOT enforced)</t>
  </si>
  <si>
    <t>TC-077</t>
  </si>
  <si>
    <t>Create conversation with valid counterpart id</t>
  </si>
  <si>
    <t>Logged in, target user exists</t>
  </si>
  <si>
    <t>{participant_id}</t>
  </si>
  <si>
    <t>201, conversation created</t>
  </si>
  <si>
    <t>Test used wrong field name (script bug, not API bug); correct field appears to be 'other_user_id'. Needs retest with correct payload</t>
  </si>
  <si>
    <t>TC-078</t>
  </si>
  <si>
    <t>/conversations/ensure</t>
  </si>
  <si>
    <t>Ensure conversation exists (idempotent) between two users</t>
  </si>
  <si>
    <t>200, returns existing conversation if already present, else creates one</t>
  </si>
  <si>
    <t>TC-079</t>
  </si>
  <si>
    <t>/conversations/:id/messages</t>
  </si>
  <si>
    <t>IDOR: read messages of a conversation user is NOT part of</t>
  </si>
  <si>
    <t>conversation belongs to two other users</t>
  </si>
  <si>
    <t>403 'Not a member of this conversation'</t>
  </si>
  <si>
    <t>TC-080</t>
  </si>
  <si>
    <t>Send valid message in own conversation</t>
  </si>
  <si>
    <t>Is a participant</t>
  </si>
  <si>
    <t>{text: 'hello'}</t>
  </si>
  <si>
    <t>201, message stored &amp; returned</t>
  </si>
  <si>
    <t>201, message stored correctly</t>
  </si>
  <si>
    <t>TC-081</t>
  </si>
  <si>
    <t>XSS payload in message text</t>
  </si>
  <si>
    <t>text: '&lt;script&gt;alert(1)&lt;/script&gt;'</t>
  </si>
  <si>
    <t>Stored literally, not executed on render</t>
  </si>
  <si>
    <t>201, stored literally as text, not executed</t>
  </si>
  <si>
    <t>TC-082</t>
  </si>
  <si>
    <t>Empty message text</t>
  </si>
  <si>
    <t>text: ''</t>
  </si>
  <si>
    <t>400 validation error (flag if silently accepted)</t>
  </si>
  <si>
    <t>400, empty message body rejected</t>
  </si>
  <si>
    <t>TC-083</t>
  </si>
  <si>
    <t>/notifications</t>
  </si>
  <si>
    <t>List own notifications</t>
  </si>
  <si>
    <t>200, only own notifications</t>
  </si>
  <si>
    <t>200, own notifications returned</t>
  </si>
  <si>
    <t>TC-084</t>
  </si>
  <si>
    <t>/notifications/unread-count</t>
  </si>
  <si>
    <t>Get unread notification count</t>
  </si>
  <si>
    <t>Logged in, has unread items</t>
  </si>
  <si>
    <t>200, count matches actual unread rows</t>
  </si>
  <si>
    <t>200, correct unread count</t>
  </si>
  <si>
    <t>TC-085</t>
  </si>
  <si>
    <t>/notifications/read</t>
  </si>
  <si>
    <t>Mark specific notifications as read</t>
  </si>
  <si>
    <t>Logged in, valid ids</t>
  </si>
  <si>
    <t>{ids:[...]}</t>
  </si>
  <si>
    <t>200, notifications updated</t>
  </si>
  <si>
    <t>TC-086</t>
  </si>
  <si>
    <t>/notifications/:id/read</t>
  </si>
  <si>
    <t>IDOR: mark another user's notification as read</t>
  </si>
  <si>
    <t>id belongs to another user</t>
  </si>
  <si>
    <t>BUG-002: returns 200 misleadingly even though update affects 0 rows; DB confirmed safe but response is misleading [RE-VERIFIED AFTER FIX: now passes, see Bug Report]</t>
  </si>
  <si>
    <t>TC-087</t>
  </si>
  <si>
    <t>/notifications/read-all</t>
  </si>
  <si>
    <t>Mark all own notifications as read</t>
  </si>
  <si>
    <t>200, all own unread → read; other users' untouched</t>
  </si>
  <si>
    <t>200, all own notifications marked read; verified in DB</t>
  </si>
  <si>
    <t>TC-088</t>
  </si>
  <si>
    <t>/dashboard/overview</t>
  </si>
  <si>
    <t>Get role-appropriate overview</t>
  </si>
  <si>
    <t>200, data scoped to logged-in user only</t>
  </si>
  <si>
    <t>200, role-appropriate overview returned</t>
  </si>
  <si>
    <t>TC-089</t>
  </si>
  <si>
    <t>/dashboard/brand</t>
  </si>
  <si>
    <t>Influencer calls brand-only dashboard</t>
  </si>
  <si>
    <t>403 (flag if not role-gated)</t>
  </si>
  <si>
    <t>403 'Brands only'</t>
  </si>
  <si>
    <t>TC-090</t>
  </si>
  <si>
    <t>/dashboard/influencer</t>
  </si>
  <si>
    <t>Brand calls influencer-only dashboard</t>
  </si>
  <si>
    <t>403 'Influencers only'</t>
  </si>
  <si>
    <t>TC-091</t>
  </si>
  <si>
    <t>/dashboard/brand/transactions</t>
  </si>
  <si>
    <t>IDOR: Brand A requests Brand B's transaction history</t>
  </si>
  <si>
    <t>No shared context, forged param if any</t>
  </si>
  <si>
    <t>Must be scoped strictly to req.user.id, never accept a foreign id</t>
  </si>
  <si>
    <t>TC-092</t>
  </si>
  <si>
    <t>/analytics/brand</t>
  </si>
  <si>
    <t>Influencer calls brand analytics</t>
  </si>
  <si>
    <t>TC-093</t>
  </si>
  <si>
    <t>/analytics/influencer</t>
  </si>
  <si>
    <t>Influencer gets own analytics</t>
  </si>
  <si>
    <t>200, figures scoped to own account</t>
  </si>
  <si>
    <t>200, own analytics returned correctly</t>
  </si>
  <si>
    <t>TC-094</t>
  </si>
  <si>
    <t>/subscriptions/plans</t>
  </si>
  <si>
    <t>List available plans (public)</t>
  </si>
  <si>
    <t>200, plan list visible without auth (optionalAuth)</t>
  </si>
  <si>
    <t>200, visible without auth as expected (optionalAuth)</t>
  </si>
  <si>
    <t>TC-095</t>
  </si>
  <si>
    <t>/subscriptions/me</t>
  </si>
  <si>
    <t>Get own current subscription</t>
  </si>
  <si>
    <t>Logged in, has active sub</t>
  </si>
  <si>
    <t>200, correct plan/status</t>
  </si>
  <si>
    <t>200, current plan returned</t>
  </si>
  <si>
    <t>TC-096</t>
  </si>
  <si>
    <t>/subscriptions/subscribe</t>
  </si>
  <si>
    <t>Subscribe to a valid plan</t>
  </si>
  <si>
    <t>Logged in, valid plan id</t>
  </si>
  <si>
    <t>{plan_id}</t>
  </si>
  <si>
    <t>200/201, subscription activated</t>
  </si>
  <si>
    <t>200, subscription activated, invoice generated</t>
  </si>
  <si>
    <t>TC-097</t>
  </si>
  <si>
    <t>Subscribe to non-existent plan id</t>
  </si>
  <si>
    <t>plan_id: 99999</t>
  </si>
  <si>
    <t>400/404 validation error</t>
  </si>
  <si>
    <t>400 'Unknown plan'</t>
  </si>
  <si>
    <t>TC-098</t>
  </si>
  <si>
    <t>/subscriptions/cancel</t>
  </si>
  <si>
    <t>Cancel own active subscription</t>
  </si>
  <si>
    <t>Logged in, active sub exists</t>
  </si>
  <si>
    <t>200, subscription marked cancelled</t>
  </si>
  <si>
    <t>TC-099</t>
  </si>
  <si>
    <t>Cancel when no active subscription exists</t>
  </si>
  <si>
    <t>Logged in, no sub</t>
  </si>
  <si>
    <t>400/404, clear error not a 500</t>
  </si>
  <si>
    <t>404 'No active subscription to cancel'</t>
  </si>
  <si>
    <t>TC-100</t>
  </si>
  <si>
    <t>/social/mine</t>
  </si>
  <si>
    <t>List own linked social accounts</t>
  </si>
  <si>
    <t>200, own accounts only</t>
  </si>
  <si>
    <t>200, own social accounts returned</t>
  </si>
  <si>
    <t>TC-101</t>
  </si>
  <si>
    <t>Add social account with empty handle</t>
  </si>
  <si>
    <t>{platform:'tiktok', handle:''}</t>
  </si>
  <si>
    <t>400 validation error (flag if accepted)</t>
  </si>
  <si>
    <t>TC-102</t>
  </si>
  <si>
    <t>/social/mine/:id</t>
  </si>
  <si>
    <t>DELETE</t>
  </si>
  <si>
    <t>IDOR: delete another user's linked social account</t>
  </si>
  <si>
    <t>BUG-003: returns 200 'deleted:true' even though the account belongs to another user; DB confirms record NOT deleted (data safe, but response is misleading, same pattern as BUG-002) [RE-VERIFIED AFTER FIX: now passes, see Bug Report]</t>
  </si>
  <si>
    <t>TC-103</t>
  </si>
  <si>
    <t>/withdrawals/balance</t>
  </si>
  <si>
    <t>Get own withdrawable balance</t>
  </si>
  <si>
    <t>200, balance matches expected calculation</t>
  </si>
  <si>
    <t>200, correct balance figures</t>
  </si>
  <si>
    <t>TC-104</t>
  </si>
  <si>
    <t>/withdrawals/mine</t>
  </si>
  <si>
    <t>List own withdrawal history</t>
  </si>
  <si>
    <t>200, only own records</t>
  </si>
  <si>
    <t>200, correct withdrawal history</t>
  </si>
  <si>
    <t>TC-105</t>
  </si>
  <si>
    <t>/withdrawals</t>
  </si>
  <si>
    <t>Request withdrawal within available balance</t>
  </si>
  <si>
    <t>Logged in, sufficient balance</t>
  </si>
  <si>
    <t>{amount &lt;= balance}</t>
  </si>
  <si>
    <t>201, withdrawal requested, balance decremented/held</t>
  </si>
  <si>
    <t>201, balance correctly decremented after</t>
  </si>
  <si>
    <t>TC-106</t>
  </si>
  <si>
    <t>Request withdrawal exceeding available balance</t>
  </si>
  <si>
    <t>Logged in, amount &gt; balance</t>
  </si>
  <si>
    <t>{amount: balance+1000000}</t>
  </si>
  <si>
    <t>400 'You can only withdraw up to Rp 347.000'</t>
  </si>
  <si>
    <t>TC-107</t>
  </si>
  <si>
    <t>Request withdrawal of exactly 0 or negative amount</t>
  </si>
  <si>
    <t>{amount: 0} / {amount: -50}</t>
  </si>
  <si>
    <t>400 'Invalid amount' for both 0 and negative</t>
  </si>
  <si>
    <t>TC-108</t>
  </si>
  <si>
    <t>TC-109</t>
  </si>
  <si>
    <t>/payment-methods/mine</t>
  </si>
  <si>
    <t>List own saved payment methods</t>
  </si>
  <si>
    <t>200, own methods only, sensitive fields masked</t>
  </si>
  <si>
    <t>200, own payment methods returned</t>
  </si>
  <si>
    <t>TC-110</t>
  </si>
  <si>
    <t>/payment-methods</t>
  </si>
  <si>
    <t>Add valid payment method</t>
  </si>
  <si>
    <t>valid bank/e-wallet details</t>
  </si>
  <si>
    <t>201, method saved</t>
  </si>
  <si>
    <t>200, added correctly once correct enum value used (bank_transfer)</t>
  </si>
  <si>
    <t>TC-111</t>
  </si>
  <si>
    <t>Add payment method with obviously invalid account number format</t>
  </si>
  <si>
    <t>account_number: 'abc'</t>
  </si>
  <si>
    <t>400 'last4 must be exactly 4 digits', validation works correctly</t>
  </si>
  <si>
    <t>TC-112</t>
  </si>
  <si>
    <t>/payment-methods/:id</t>
  </si>
  <si>
    <t>IDOR: delete another user's payment method</t>
  </si>
  <si>
    <t>404 'Payment method not found', data unchanged</t>
  </si>
  <si>
    <t>TC-113</t>
  </si>
  <si>
    <t>/payment-methods/:id/default</t>
  </si>
  <si>
    <t>IDOR: set another user's payment method as own default</t>
  </si>
  <si>
    <t>TC-114</t>
  </si>
  <si>
    <t>/health</t>
  </si>
  <si>
    <t>Health check endpoint</t>
  </si>
  <si>
    <t>200 {success:true}</t>
  </si>
  <si>
    <t>200, health check OK</t>
  </si>
  <si>
    <t>TC-115</t>
  </si>
  <si>
    <t>(any protected route)</t>
  </si>
  <si>
    <t>ANY</t>
  </si>
  <si>
    <t>Access with a token signed by wrong/garbage secret</t>
  </si>
  <si>
    <t>Forged JWT</t>
  </si>
  <si>
    <t>401, forged JWT correctly rejected</t>
  </si>
  <si>
    <t>TC-116</t>
  </si>
  <si>
    <t>(any route)</t>
  </si>
  <si>
    <t>Hit a completely undefined route</t>
  </si>
  <si>
    <t>GET /this-does-not-exist</t>
  </si>
  <si>
    <t>404 {success:false, message:'Endpoint not found'}</t>
  </si>
  <si>
    <t>404 'Endpoint not found'</t>
  </si>
  <si>
    <t>TC-117</t>
  </si>
  <si>
    <t>(any POST/PUT route)</t>
  </si>
  <si>
    <t>POST/PUT</t>
  </si>
  <si>
    <t>Varies</t>
  </si>
  <si>
    <t>Send malformed JSON body</t>
  </si>
  <si>
    <t>broken JSON syntax</t>
  </si>
  <si>
    <t>400, handled gracefully, not a 500 crash</t>
  </si>
  <si>
    <t>BUG-003: returns 500 instead of 400 for malformed JSON syntax [RE-VERIFIED AFTER FIX: now passes, see Bug Report]</t>
  </si>
  <si>
    <t>TC-118</t>
  </si>
  <si>
    <t>/auth/*</t>
  </si>
  <si>
    <t>CORS preflight from disallowed origin (if ALLOWED_ORIGINS restricted in prod)</t>
  </si>
  <si>
    <t>NODE_ENV=production, ALLOWED_ORIGINS set</t>
  </si>
  <si>
    <t>Origin: evil.com</t>
  </si>
  <si>
    <t>Request blocked/CORS error</t>
  </si>
  <si>
    <t>204 preflight response; full CORS-restriction behavior needs re-check with ALLOWED_ORIGINS actually restricted in a prod-like config</t>
  </si>
  <si>
    <t>k6 mixed-traffic test, found auth rate limiter as the real bottleneck under concurrent load</t>
  </si>
  <si>
    <t>403/404, must NOT succeed</t>
  </si>
  <si>
    <t>403/404, must NOT leak applicant data</t>
  </si>
  <si>
    <t>403 (if role-gated), flag if not restricted</t>
  </si>
  <si>
    <t>403 'Not your offer', data unchanged, verified in DB</t>
  </si>
  <si>
    <t>400 'Invalid id', handled gracefully, no crash</t>
  </si>
  <si>
    <t>403 (if role-gated), flag if creation is NOT restricted to brand role</t>
  </si>
  <si>
    <t>400/422, must be rejected, critical financial integrity check</t>
  </si>
  <si>
    <t>400, correctly blocked cancelling an active paid plan before its term, business-rule rejection, not a bug</t>
  </si>
  <si>
    <t>200, correctly scoped, both brands see only their own (empty) transaction list</t>
  </si>
  <si>
    <t>200, idempotent, second call returns same conversation id, no duplicate created</t>
  </si>
  <si>
    <t>403/404, must NOT leak messages</t>
  </si>
  <si>
    <t>403/400, must NOT allow arbitrary payment record</t>
  </si>
  <si>
    <t>BUG-001, cannot test, route not mounted [RE-VERIFIED AFTER FIX: now passes, see Bug Report]</t>
  </si>
  <si>
    <t>403/404 or scoped-empty, must NOT leak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</si>
</sst>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charset val="1"/>
    </font>
    <font>
      <b/>
      <sz val="16"/>
      <color rgb="FFFFFFFF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theme="2" tint="-0.749992370372631"/>
        <bgColor rgb="FF666699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5" fillId="8" borderId="2" xfId="1" applyFont="1" applyFill="1" applyBorder="1" applyAlignment="1">
      <alignment horizontal="center" vertical="center" wrapText="1"/>
    </xf>
    <xf numFmtId="0" fontId="5" fillId="8" borderId="3" xfId="1" applyFont="1" applyFill="1" applyBorder="1" applyAlignment="1">
      <alignment horizontal="center" vertical="center" wrapText="1"/>
    </xf>
    <xf numFmtId="0" fontId="5" fillId="8" borderId="4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vertical="top" wrapText="1"/>
    </xf>
    <xf numFmtId="0" fontId="6" fillId="0" borderId="6" xfId="1" applyFont="1" applyBorder="1" applyAlignment="1">
      <alignment vertical="top" wrapText="1"/>
    </xf>
    <xf numFmtId="0" fontId="6" fillId="3" borderId="6" xfId="1" applyFont="1" applyFill="1" applyBorder="1" applyAlignment="1">
      <alignment vertical="top" wrapText="1"/>
    </xf>
    <xf numFmtId="0" fontId="6" fillId="4" borderId="6" xfId="1" applyFont="1" applyFill="1" applyBorder="1" applyAlignment="1">
      <alignment vertical="top" wrapText="1"/>
    </xf>
    <xf numFmtId="0" fontId="6" fillId="0" borderId="7" xfId="1" applyFont="1" applyBorder="1" applyAlignment="1">
      <alignment vertical="top" wrapText="1"/>
    </xf>
    <xf numFmtId="0" fontId="6" fillId="5" borderId="6" xfId="1" applyFont="1" applyFill="1" applyBorder="1" applyAlignment="1">
      <alignment vertical="top" wrapText="1"/>
    </xf>
    <xf numFmtId="0" fontId="6" fillId="6" borderId="6" xfId="1" applyFont="1" applyFill="1" applyBorder="1" applyAlignment="1">
      <alignment vertical="top" wrapText="1"/>
    </xf>
    <xf numFmtId="0" fontId="6" fillId="7" borderId="6" xfId="1" applyFont="1" applyFill="1" applyBorder="1" applyAlignment="1">
      <alignment vertical="top" wrapText="1"/>
    </xf>
    <xf numFmtId="0" fontId="6" fillId="0" borderId="8" xfId="1" applyFont="1" applyBorder="1" applyAlignment="1">
      <alignment vertical="top" wrapText="1"/>
    </xf>
    <xf numFmtId="0" fontId="6" fillId="0" borderId="9" xfId="1" applyFont="1" applyBorder="1" applyAlignment="1">
      <alignment vertical="top" wrapText="1"/>
    </xf>
    <xf numFmtId="0" fontId="6" fillId="4" borderId="9" xfId="1" applyFont="1" applyFill="1" applyBorder="1" applyAlignment="1">
      <alignment vertical="top" wrapText="1"/>
    </xf>
    <xf numFmtId="0" fontId="6" fillId="0" borderId="10" xfId="1" applyFont="1" applyBorder="1" applyAlignment="1">
      <alignment vertical="top"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7E6AA0B1-0F27-4CA3-89EC-0BD053668950}"/>
  </cellStyles>
  <dxfs count="18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rgb="FF666699"/>
          <bgColor theme="2" tint="-0.74999237037263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rgb="FFDDEBF7"/>
          <bgColor rgb="FFC6EFCE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444B3B-31AE-464A-A91B-C16DCC71C0F5}" name="Table1" displayName="Table1" ref="A1:M119" totalsRowShown="0" headerRowDxfId="1" dataDxfId="0" headerRowBorderDxfId="16" tableBorderDxfId="17" totalsRowBorderDxfId="15" headerRowCellStyle="Normal 2">
  <autoFilter ref="A1:M119" xr:uid="{D1444B3B-31AE-464A-A91B-C16DCC71C0F5}"/>
  <tableColumns count="13">
    <tableColumn id="1" xr3:uid="{59BF5D81-189E-4AE6-9730-396BBE04C025}" name="ID" dataDxfId="14" dataCellStyle="Normal 2"/>
    <tableColumn id="2" xr3:uid="{BBDBD249-C669-4810-97D3-5D165D885A87}" name="Module" dataDxfId="13" dataCellStyle="Normal 2"/>
    <tableColumn id="3" xr3:uid="{07437606-86A8-44B5-8801-9B7B57CA061E}" name="Endpoint" dataDxfId="12" dataCellStyle="Normal 2"/>
    <tableColumn id="4" xr3:uid="{832E8F90-201E-4BF7-80A7-EA477B6A9263}" name="Method" dataDxfId="11" dataCellStyle="Normal 2"/>
    <tableColumn id="5" xr3:uid="{25C97E57-E92F-4237-9A44-8C16E4D337C5}" name="Auth Required" dataDxfId="10" dataCellStyle="Normal 2"/>
    <tableColumn id="6" xr3:uid="{06D191AC-99E6-4143-86EE-F0743E13EB88}" name="Case Type" dataDxfId="9" dataCellStyle="Normal 2"/>
    <tableColumn id="7" xr3:uid="{30B9C2EF-0E80-4DDD-B576-D7EEFDC2233D}" name="Test Case Description" dataDxfId="8" dataCellStyle="Normal 2"/>
    <tableColumn id="8" xr3:uid="{663DBB4D-5443-4600-B280-0734363BEB07}" name="Precondition" dataDxfId="7" dataCellStyle="Normal 2"/>
    <tableColumn id="9" xr3:uid="{C79A06A9-68BE-43E5-90D1-B8766C058D0B}" name="Test Data / Input" dataDxfId="6" dataCellStyle="Normal 2"/>
    <tableColumn id="10" xr3:uid="{9729072A-A4B8-4ECF-B60D-F6D92BC9D89B}" name="Expected Result" dataDxfId="5" dataCellStyle="Normal 2"/>
    <tableColumn id="11" xr3:uid="{4E6FC197-7FF2-493D-8403-A260B2D8174D}" name="Priority" dataDxfId="4"/>
    <tableColumn id="12" xr3:uid="{F0E9A5CB-8B77-4AFC-9241-6DDA8FB6B23A}" name="Status" dataDxfId="3" dataCellStyle="Normal 2"/>
    <tableColumn id="13" xr3:uid="{5D06BA74-4D3A-4D68-99DC-A1A6F3175679}" name="Notes" dataDxfId="2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zoomScaleNormal="100" workbookViewId="0">
      <selection activeCell="B51" sqref="B51"/>
    </sheetView>
  </sheetViews>
  <sheetFormatPr defaultColWidth="8.6640625" defaultRowHeight="14.25" x14ac:dyDescent="0.45"/>
  <cols>
    <col min="1" max="1" width="34" customWidth="1"/>
    <col min="2" max="6" width="14" customWidth="1"/>
  </cols>
  <sheetData>
    <row r="1" spans="1:6" ht="17.649999999999999" x14ac:dyDescent="0.5">
      <c r="A1" s="1" t="s">
        <v>0</v>
      </c>
    </row>
    <row r="3" spans="1:6" x14ac:dyDescent="0.45">
      <c r="A3" s="2" t="s">
        <v>1</v>
      </c>
    </row>
    <row r="4" spans="1:6" x14ac:dyDescent="0.45">
      <c r="A4" t="s">
        <v>2</v>
      </c>
      <c r="B4">
        <f>COUNTA('Test Case Matrix'!A2:A119)</f>
        <v>118</v>
      </c>
    </row>
    <row r="5" spans="1:6" x14ac:dyDescent="0.45">
      <c r="A5" t="s">
        <v>3</v>
      </c>
      <c r="B5">
        <f>COUNTIF('Test Case Matrix'!L2:L119,"Pass")</f>
        <v>111</v>
      </c>
    </row>
    <row r="6" spans="1:6" x14ac:dyDescent="0.45">
      <c r="A6" t="s">
        <v>4</v>
      </c>
      <c r="B6">
        <f>COUNTIF('Test Case Matrix'!L2:L119,"Fail")</f>
        <v>0</v>
      </c>
    </row>
    <row r="7" spans="1:6" x14ac:dyDescent="0.45">
      <c r="A7" t="s">
        <v>5</v>
      </c>
      <c r="B7">
        <f>COUNTIF('Test Case Matrix'!L2:L119,"Blocked")</f>
        <v>0</v>
      </c>
    </row>
    <row r="8" spans="1:6" x14ac:dyDescent="0.45">
      <c r="A8" t="s">
        <v>6</v>
      </c>
      <c r="B8">
        <f>COUNTIF('Test Case Matrix'!L2:L119,"Not Run")</f>
        <v>7</v>
      </c>
    </row>
    <row r="9" spans="1:6" x14ac:dyDescent="0.45">
      <c r="A9" t="s">
        <v>7</v>
      </c>
      <c r="B9" s="3">
        <f>ROUND(COUNTIF('Test Case Matrix'!L2:L119,"Pass")/COUNTA('Test Case Matrix'!A2:A119),4)</f>
        <v>0.94069999999999998</v>
      </c>
    </row>
    <row r="11" spans="1:6" x14ac:dyDescent="0.45">
      <c r="A11" s="2" t="s">
        <v>8</v>
      </c>
    </row>
    <row r="12" spans="1:6" x14ac:dyDescent="0.45">
      <c r="A12" s="4" t="s">
        <v>9</v>
      </c>
      <c r="B12" s="4" t="s">
        <v>10</v>
      </c>
      <c r="C12" s="4" t="s">
        <v>3</v>
      </c>
      <c r="D12" s="4" t="s">
        <v>4</v>
      </c>
      <c r="E12" s="4" t="s">
        <v>5</v>
      </c>
      <c r="F12" s="4" t="s">
        <v>6</v>
      </c>
    </row>
    <row r="13" spans="1:6" x14ac:dyDescent="0.45">
      <c r="A13" t="s">
        <v>11</v>
      </c>
      <c r="B13">
        <f>COUNTIF('Test Case Matrix'!B$2:B$119,$A13)</f>
        <v>24</v>
      </c>
      <c r="C13">
        <f>COUNTIFS('Test Case Matrix'!B$2:B$119,$A13,'Test Case Matrix'!L$2:L$119,"Pass")</f>
        <v>24</v>
      </c>
      <c r="D13">
        <f>COUNTIFS('Test Case Matrix'!B$2:B$119,$A13,'Test Case Matrix'!L$2:L$119,"Fail")</f>
        <v>0</v>
      </c>
      <c r="E13">
        <f>COUNTIFS('Test Case Matrix'!B$2:B$119,$A13,'Test Case Matrix'!L$2:L$119,"Blocked")</f>
        <v>0</v>
      </c>
      <c r="F13">
        <f>COUNTIFS('Test Case Matrix'!B$2:B$119,$A13,'Test Case Matrix'!L$2:L$119,"Not Run")</f>
        <v>0</v>
      </c>
    </row>
    <row r="14" spans="1:6" x14ac:dyDescent="0.45">
      <c r="A14" t="s">
        <v>12</v>
      </c>
      <c r="B14">
        <f>COUNTIF('Test Case Matrix'!B$2:B$119,$A14)</f>
        <v>4</v>
      </c>
      <c r="C14">
        <f>COUNTIFS('Test Case Matrix'!B$2:B$119,$A14,'Test Case Matrix'!L$2:L$119,"Pass")</f>
        <v>0</v>
      </c>
      <c r="D14">
        <f>COUNTIFS('Test Case Matrix'!B$2:B$119,$A14,'Test Case Matrix'!L$2:L$119,"Fail")</f>
        <v>0</v>
      </c>
      <c r="E14">
        <f>COUNTIFS('Test Case Matrix'!B$2:B$119,$A14,'Test Case Matrix'!L$2:L$119,"Blocked")</f>
        <v>0</v>
      </c>
      <c r="F14">
        <f>COUNTIFS('Test Case Matrix'!B$2:B$119,$A14,'Test Case Matrix'!L$2:L$119,"Not Run")</f>
        <v>4</v>
      </c>
    </row>
    <row r="15" spans="1:6" x14ac:dyDescent="0.45">
      <c r="A15" t="s">
        <v>13</v>
      </c>
      <c r="B15">
        <f>COUNTIF('Test Case Matrix'!B$2:B$119,$A15)</f>
        <v>9</v>
      </c>
      <c r="C15">
        <f>COUNTIFS('Test Case Matrix'!B$2:B$119,$A15,'Test Case Matrix'!L$2:L$119,"Pass")</f>
        <v>7</v>
      </c>
      <c r="D15">
        <f>COUNTIFS('Test Case Matrix'!B$2:B$119,$A15,'Test Case Matrix'!L$2:L$119,"Fail")</f>
        <v>0</v>
      </c>
      <c r="E15">
        <f>COUNTIFS('Test Case Matrix'!B$2:B$119,$A15,'Test Case Matrix'!L$2:L$119,"Blocked")</f>
        <v>0</v>
      </c>
      <c r="F15">
        <f>COUNTIFS('Test Case Matrix'!B$2:B$119,$A15,'Test Case Matrix'!L$2:L$119,"Not Run")</f>
        <v>2</v>
      </c>
    </row>
    <row r="16" spans="1:6" x14ac:dyDescent="0.45">
      <c r="A16" t="s">
        <v>14</v>
      </c>
      <c r="B16">
        <f>COUNTIF('Test Case Matrix'!B$2:B$119,$A16)</f>
        <v>6</v>
      </c>
      <c r="C16">
        <f>COUNTIFS('Test Case Matrix'!B$2:B$119,$A16,'Test Case Matrix'!L$2:L$119,"Pass")</f>
        <v>6</v>
      </c>
      <c r="D16">
        <f>COUNTIFS('Test Case Matrix'!B$2:B$119,$A16,'Test Case Matrix'!L$2:L$119,"Fail")</f>
        <v>0</v>
      </c>
      <c r="E16">
        <f>COUNTIFS('Test Case Matrix'!B$2:B$119,$A16,'Test Case Matrix'!L$2:L$119,"Blocked")</f>
        <v>0</v>
      </c>
      <c r="F16">
        <f>COUNTIFS('Test Case Matrix'!B$2:B$119,$A16,'Test Case Matrix'!L$2:L$119,"Not Run")</f>
        <v>0</v>
      </c>
    </row>
    <row r="17" spans="1:6" x14ac:dyDescent="0.45">
      <c r="A17" t="s">
        <v>15</v>
      </c>
      <c r="B17">
        <f>COUNTIF('Test Case Matrix'!B$2:B$119,$A17)</f>
        <v>22</v>
      </c>
      <c r="C17">
        <f>COUNTIFS('Test Case Matrix'!B$2:B$119,$A17,'Test Case Matrix'!L$2:L$119,"Pass")</f>
        <v>22</v>
      </c>
      <c r="D17">
        <f>COUNTIFS('Test Case Matrix'!B$2:B$119,$A17,'Test Case Matrix'!L$2:L$119,"Fail")</f>
        <v>0</v>
      </c>
      <c r="E17">
        <f>COUNTIFS('Test Case Matrix'!B$2:B$119,$A17,'Test Case Matrix'!L$2:L$119,"Blocked")</f>
        <v>0</v>
      </c>
      <c r="F17">
        <f>COUNTIFS('Test Case Matrix'!B$2:B$119,$A17,'Test Case Matrix'!L$2:L$119,"Not Run")</f>
        <v>0</v>
      </c>
    </row>
    <row r="18" spans="1:6" x14ac:dyDescent="0.45">
      <c r="A18" t="s">
        <v>16</v>
      </c>
      <c r="B18">
        <f>COUNTIF('Test Case Matrix'!B$2:B$119,$A18)</f>
        <v>9</v>
      </c>
      <c r="C18">
        <f>COUNTIFS('Test Case Matrix'!B$2:B$119,$A18,'Test Case Matrix'!L$2:L$119,"Pass")</f>
        <v>9</v>
      </c>
      <c r="D18">
        <f>COUNTIFS('Test Case Matrix'!B$2:B$119,$A18,'Test Case Matrix'!L$2:L$119,"Fail")</f>
        <v>0</v>
      </c>
      <c r="E18">
        <f>COUNTIFS('Test Case Matrix'!B$2:B$119,$A18,'Test Case Matrix'!L$2:L$119,"Blocked")</f>
        <v>0</v>
      </c>
      <c r="F18">
        <f>COUNTIFS('Test Case Matrix'!B$2:B$119,$A18,'Test Case Matrix'!L$2:L$119,"Not Run")</f>
        <v>0</v>
      </c>
    </row>
    <row r="19" spans="1:6" x14ac:dyDescent="0.45">
      <c r="A19" t="s">
        <v>17</v>
      </c>
      <c r="B19">
        <f>COUNTIF('Test Case Matrix'!B$2:B$119,$A19)</f>
        <v>8</v>
      </c>
      <c r="C19">
        <f>COUNTIFS('Test Case Matrix'!B$2:B$119,$A19,'Test Case Matrix'!L$2:L$119,"Pass")</f>
        <v>7</v>
      </c>
      <c r="D19">
        <f>COUNTIFS('Test Case Matrix'!B$2:B$119,$A19,'Test Case Matrix'!L$2:L$119,"Fail")</f>
        <v>0</v>
      </c>
      <c r="E19">
        <f>COUNTIFS('Test Case Matrix'!B$2:B$119,$A19,'Test Case Matrix'!L$2:L$119,"Blocked")</f>
        <v>0</v>
      </c>
      <c r="F19">
        <f>COUNTIFS('Test Case Matrix'!B$2:B$119,$A19,'Test Case Matrix'!L$2:L$119,"Not Run")</f>
        <v>1</v>
      </c>
    </row>
    <row r="20" spans="1:6" x14ac:dyDescent="0.45">
      <c r="A20" t="s">
        <v>18</v>
      </c>
      <c r="B20">
        <f>COUNTIF('Test Case Matrix'!B$2:B$119,$A20)</f>
        <v>5</v>
      </c>
      <c r="C20">
        <f>COUNTIFS('Test Case Matrix'!B$2:B$119,$A20,'Test Case Matrix'!L$2:L$119,"Pass")</f>
        <v>5</v>
      </c>
      <c r="D20">
        <f>COUNTIFS('Test Case Matrix'!B$2:B$119,$A20,'Test Case Matrix'!L$2:L$119,"Fail")</f>
        <v>0</v>
      </c>
      <c r="E20">
        <f>COUNTIFS('Test Case Matrix'!B$2:B$119,$A20,'Test Case Matrix'!L$2:L$119,"Blocked")</f>
        <v>0</v>
      </c>
      <c r="F20">
        <f>COUNTIFS('Test Case Matrix'!B$2:B$119,$A20,'Test Case Matrix'!L$2:L$119,"Not Run")</f>
        <v>0</v>
      </c>
    </row>
    <row r="21" spans="1:6" x14ac:dyDescent="0.45">
      <c r="A21" t="s">
        <v>19</v>
      </c>
      <c r="B21">
        <f>COUNTIF('Test Case Matrix'!B$2:B$119,$A21)</f>
        <v>4</v>
      </c>
      <c r="C21">
        <f>COUNTIFS('Test Case Matrix'!B$2:B$119,$A21,'Test Case Matrix'!L$2:L$119,"Pass")</f>
        <v>4</v>
      </c>
      <c r="D21">
        <f>COUNTIFS('Test Case Matrix'!B$2:B$119,$A21,'Test Case Matrix'!L$2:L$119,"Fail")</f>
        <v>0</v>
      </c>
      <c r="E21">
        <f>COUNTIFS('Test Case Matrix'!B$2:B$119,$A21,'Test Case Matrix'!L$2:L$119,"Blocked")</f>
        <v>0</v>
      </c>
      <c r="F21">
        <f>COUNTIFS('Test Case Matrix'!B$2:B$119,$A21,'Test Case Matrix'!L$2:L$119,"Not Run")</f>
        <v>0</v>
      </c>
    </row>
    <row r="22" spans="1:6" x14ac:dyDescent="0.45">
      <c r="A22" t="s">
        <v>20</v>
      </c>
      <c r="B22">
        <f>COUNTIF('Test Case Matrix'!B$2:B$119,$A22)</f>
        <v>2</v>
      </c>
      <c r="C22">
        <f>COUNTIFS('Test Case Matrix'!B$2:B$119,$A22,'Test Case Matrix'!L$2:L$119,"Pass")</f>
        <v>2</v>
      </c>
      <c r="D22">
        <f>COUNTIFS('Test Case Matrix'!B$2:B$119,$A22,'Test Case Matrix'!L$2:L$119,"Fail")</f>
        <v>0</v>
      </c>
      <c r="E22">
        <f>COUNTIFS('Test Case Matrix'!B$2:B$119,$A22,'Test Case Matrix'!L$2:L$119,"Blocked")</f>
        <v>0</v>
      </c>
      <c r="F22">
        <f>COUNTIFS('Test Case Matrix'!B$2:B$119,$A22,'Test Case Matrix'!L$2:L$119,"Not Run")</f>
        <v>0</v>
      </c>
    </row>
    <row r="23" spans="1:6" x14ac:dyDescent="0.45">
      <c r="A23" t="s">
        <v>21</v>
      </c>
      <c r="B23">
        <f>COUNTIF('Test Case Matrix'!B$2:B$119,$A23)</f>
        <v>6</v>
      </c>
      <c r="C23">
        <f>COUNTIFS('Test Case Matrix'!B$2:B$119,$A23,'Test Case Matrix'!L$2:L$119,"Pass")</f>
        <v>6</v>
      </c>
      <c r="D23">
        <f>COUNTIFS('Test Case Matrix'!B$2:B$119,$A23,'Test Case Matrix'!L$2:L$119,"Fail")</f>
        <v>0</v>
      </c>
      <c r="E23">
        <f>COUNTIFS('Test Case Matrix'!B$2:B$119,$A23,'Test Case Matrix'!L$2:L$119,"Blocked")</f>
        <v>0</v>
      </c>
      <c r="F23">
        <f>COUNTIFS('Test Case Matrix'!B$2:B$119,$A23,'Test Case Matrix'!L$2:L$119,"Not Run")</f>
        <v>0</v>
      </c>
    </row>
    <row r="24" spans="1:6" x14ac:dyDescent="0.45">
      <c r="A24" t="s">
        <v>22</v>
      </c>
      <c r="B24">
        <f>COUNTIF('Test Case Matrix'!B$2:B$119,$A24)</f>
        <v>3</v>
      </c>
      <c r="C24">
        <f>COUNTIFS('Test Case Matrix'!B$2:B$119,$A24,'Test Case Matrix'!L$2:L$119,"Pass")</f>
        <v>3</v>
      </c>
      <c r="D24">
        <f>COUNTIFS('Test Case Matrix'!B$2:B$119,$A24,'Test Case Matrix'!L$2:L$119,"Fail")</f>
        <v>0</v>
      </c>
      <c r="E24">
        <f>COUNTIFS('Test Case Matrix'!B$2:B$119,$A24,'Test Case Matrix'!L$2:L$119,"Blocked")</f>
        <v>0</v>
      </c>
      <c r="F24">
        <f>COUNTIFS('Test Case Matrix'!B$2:B$119,$A24,'Test Case Matrix'!L$2:L$119,"Not Run")</f>
        <v>0</v>
      </c>
    </row>
    <row r="25" spans="1:6" x14ac:dyDescent="0.45">
      <c r="A25" t="s">
        <v>23</v>
      </c>
      <c r="B25">
        <f>COUNTIF('Test Case Matrix'!B$2:B$119,$A25)</f>
        <v>6</v>
      </c>
      <c r="C25">
        <f>COUNTIFS('Test Case Matrix'!B$2:B$119,$A25,'Test Case Matrix'!L$2:L$119,"Pass")</f>
        <v>6</v>
      </c>
      <c r="D25">
        <f>COUNTIFS('Test Case Matrix'!B$2:B$119,$A25,'Test Case Matrix'!L$2:L$119,"Fail")</f>
        <v>0</v>
      </c>
      <c r="E25">
        <f>COUNTIFS('Test Case Matrix'!B$2:B$119,$A25,'Test Case Matrix'!L$2:L$119,"Blocked")</f>
        <v>0</v>
      </c>
      <c r="F25">
        <f>COUNTIFS('Test Case Matrix'!B$2:B$119,$A25,'Test Case Matrix'!L$2:L$119,"Not Run")</f>
        <v>0</v>
      </c>
    </row>
    <row r="26" spans="1:6" x14ac:dyDescent="0.45">
      <c r="A26" t="s">
        <v>24</v>
      </c>
      <c r="B26">
        <f>COUNTIF('Test Case Matrix'!B$2:B$119,$A26)</f>
        <v>5</v>
      </c>
      <c r="C26">
        <f>COUNTIFS('Test Case Matrix'!B$2:B$119,$A26,'Test Case Matrix'!L$2:L$119,"Pass")</f>
        <v>5</v>
      </c>
      <c r="D26">
        <f>COUNTIFS('Test Case Matrix'!B$2:B$119,$A26,'Test Case Matrix'!L$2:L$119,"Fail")</f>
        <v>0</v>
      </c>
      <c r="E26">
        <f>COUNTIFS('Test Case Matrix'!B$2:B$119,$A26,'Test Case Matrix'!L$2:L$119,"Blocked")</f>
        <v>0</v>
      </c>
      <c r="F26">
        <f>COUNTIFS('Test Case Matrix'!B$2:B$119,$A26,'Test Case Matrix'!L$2:L$119,"Not Run")</f>
        <v>0</v>
      </c>
    </row>
    <row r="27" spans="1:6" x14ac:dyDescent="0.45">
      <c r="A27" t="s">
        <v>25</v>
      </c>
      <c r="B27">
        <f>COUNTIF('Test Case Matrix'!B$2:B$119,$A27)</f>
        <v>5</v>
      </c>
      <c r="C27">
        <f>COUNTIFS('Test Case Matrix'!B$2:B$119,$A27,'Test Case Matrix'!L$2:L$119,"Pass")</f>
        <v>5</v>
      </c>
      <c r="D27">
        <f>COUNTIFS('Test Case Matrix'!B$2:B$119,$A27,'Test Case Matrix'!L$2:L$119,"Fail")</f>
        <v>0</v>
      </c>
      <c r="E27">
        <f>COUNTIFS('Test Case Matrix'!B$2:B$119,$A27,'Test Case Matrix'!L$2:L$119,"Blocked")</f>
        <v>0</v>
      </c>
      <c r="F27">
        <f>COUNTIFS('Test Case Matrix'!B$2:B$119,$A27,'Test Case Matrix'!L$2:L$119,"Not Run")</f>
        <v>0</v>
      </c>
    </row>
    <row r="29" spans="1:6" x14ac:dyDescent="0.45">
      <c r="A29" s="2" t="s">
        <v>26</v>
      </c>
    </row>
    <row r="30" spans="1:6" x14ac:dyDescent="0.45">
      <c r="A30" s="4" t="s">
        <v>27</v>
      </c>
      <c r="B30" s="4" t="s">
        <v>10</v>
      </c>
      <c r="C30" s="4" t="s">
        <v>3</v>
      </c>
      <c r="D30" s="4" t="s">
        <v>4</v>
      </c>
    </row>
    <row r="31" spans="1:6" x14ac:dyDescent="0.45">
      <c r="A31" t="s">
        <v>28</v>
      </c>
      <c r="B31">
        <f>COUNTIF('Test Case Matrix'!K$2:K$119,$A31)</f>
        <v>45</v>
      </c>
      <c r="C31">
        <f>COUNTIFS('Test Case Matrix'!K$2:K$119,$A31,'Test Case Matrix'!L$2:L$119,"Pass")</f>
        <v>45</v>
      </c>
      <c r="D31">
        <f>COUNTIFS('Test Case Matrix'!K$2:K$119,$A31,'Test Case Matrix'!L$2:L$119,"Fail")</f>
        <v>0</v>
      </c>
    </row>
    <row r="32" spans="1:6" x14ac:dyDescent="0.45">
      <c r="A32" t="s">
        <v>29</v>
      </c>
      <c r="B32">
        <f>COUNTIF('Test Case Matrix'!K$2:K$119,$A32)</f>
        <v>37</v>
      </c>
      <c r="C32">
        <f>COUNTIFS('Test Case Matrix'!K$2:K$119,$A32,'Test Case Matrix'!L$2:L$119,"Pass")</f>
        <v>32</v>
      </c>
      <c r="D32">
        <f>COUNTIFS('Test Case Matrix'!K$2:K$119,$A32,'Test Case Matrix'!L$2:L$119,"Fail")</f>
        <v>0</v>
      </c>
    </row>
    <row r="33" spans="1:4" x14ac:dyDescent="0.45">
      <c r="A33" t="s">
        <v>30</v>
      </c>
      <c r="B33">
        <f>COUNTIF('Test Case Matrix'!K$2:K$119,$A33)</f>
        <v>32</v>
      </c>
      <c r="C33">
        <f>COUNTIFS('Test Case Matrix'!K$2:K$119,$A33,'Test Case Matrix'!L$2:L$119,"Pass")</f>
        <v>30</v>
      </c>
      <c r="D33">
        <f>COUNTIFS('Test Case Matrix'!K$2:K$119,$A33,'Test Case Matrix'!L$2:L$119,"Fail")</f>
        <v>0</v>
      </c>
    </row>
    <row r="34" spans="1:4" x14ac:dyDescent="0.45">
      <c r="A34" t="s">
        <v>31</v>
      </c>
      <c r="B34">
        <f>COUNTIF('Test Case Matrix'!K$2:K$119,$A34)</f>
        <v>4</v>
      </c>
      <c r="C34">
        <f>COUNTIFS('Test Case Matrix'!K$2:K$119,$A34,'Test Case Matrix'!L$2:L$119,"Pass")</f>
        <v>4</v>
      </c>
      <c r="D34">
        <f>COUNTIFS('Test Case Matrix'!K$2:K$119,$A34,'Test Case Matrix'!L$2:L$119,"Fail")</f>
        <v>0</v>
      </c>
    </row>
    <row r="36" spans="1:4" x14ac:dyDescent="0.45">
      <c r="A36" s="2" t="s">
        <v>32</v>
      </c>
    </row>
    <row r="37" spans="1:4" x14ac:dyDescent="0.45">
      <c r="A37" s="4" t="s">
        <v>33</v>
      </c>
      <c r="B37" s="4" t="s">
        <v>10</v>
      </c>
      <c r="C37" s="4" t="s">
        <v>3</v>
      </c>
      <c r="D37" s="4" t="s">
        <v>4</v>
      </c>
    </row>
    <row r="38" spans="1:4" x14ac:dyDescent="0.45">
      <c r="A38" t="s">
        <v>34</v>
      </c>
      <c r="B38">
        <f>COUNTIF('Test Case Matrix'!F$2:F$119,$A38)</f>
        <v>47</v>
      </c>
      <c r="C38">
        <f>COUNTIFS('Test Case Matrix'!F$2:F$119,$A38,'Test Case Matrix'!L$2:L$119,"Pass")</f>
        <v>44</v>
      </c>
      <c r="D38">
        <f>COUNTIFS('Test Case Matrix'!F$2:F$119,$A38,'Test Case Matrix'!L$2:L$119,"Fail")</f>
        <v>0</v>
      </c>
    </row>
    <row r="39" spans="1:4" x14ac:dyDescent="0.45">
      <c r="A39" t="s">
        <v>35</v>
      </c>
      <c r="B39">
        <f>COUNTIF('Test Case Matrix'!F$2:F$119,$A39)</f>
        <v>36</v>
      </c>
      <c r="C39">
        <f>COUNTIFS('Test Case Matrix'!F$2:F$119,$A39,'Test Case Matrix'!L$2:L$119,"Pass")</f>
        <v>32</v>
      </c>
      <c r="D39">
        <f>COUNTIFS('Test Case Matrix'!F$2:F$119,$A39,'Test Case Matrix'!L$2:L$119,"Fail")</f>
        <v>0</v>
      </c>
    </row>
    <row r="40" spans="1:4" x14ac:dyDescent="0.45">
      <c r="A40" t="s">
        <v>36</v>
      </c>
      <c r="B40">
        <f>COUNTIF('Test Case Matrix'!F$2:F$119,$A40)</f>
        <v>12</v>
      </c>
      <c r="C40">
        <f>COUNTIFS('Test Case Matrix'!F$2:F$119,$A40,'Test Case Matrix'!L$2:L$119,"Pass")</f>
        <v>12</v>
      </c>
      <c r="D40">
        <f>COUNTIFS('Test Case Matrix'!F$2:F$119,$A40,'Test Case Matrix'!L$2:L$119,"Fail")</f>
        <v>0</v>
      </c>
    </row>
    <row r="41" spans="1:4" x14ac:dyDescent="0.45">
      <c r="A41" t="s">
        <v>37</v>
      </c>
      <c r="B41">
        <f>COUNTIF('Test Case Matrix'!F$2:F$119,$A41)</f>
        <v>23</v>
      </c>
      <c r="C41">
        <f>COUNTIFS('Test Case Matrix'!F$2:F$119,$A41,'Test Case Matrix'!L$2:L$119,"Pass")</f>
        <v>23</v>
      </c>
      <c r="D41">
        <f>COUNTIFS('Test Case Matrix'!F$2:F$119,$A41,'Test Case Matrix'!L$2:L$119,"Fail")</f>
        <v>0</v>
      </c>
    </row>
    <row r="44" spans="1:4" x14ac:dyDescent="0.45">
      <c r="A44" s="2" t="s">
        <v>38</v>
      </c>
    </row>
    <row r="45" spans="1:4" x14ac:dyDescent="0.45">
      <c r="A45" t="s">
        <v>39</v>
      </c>
      <c r="B45">
        <v>6</v>
      </c>
    </row>
    <row r="46" spans="1:4" x14ac:dyDescent="0.45">
      <c r="A46" t="s">
        <v>40</v>
      </c>
      <c r="B46">
        <v>6</v>
      </c>
    </row>
    <row r="47" spans="1:4" x14ac:dyDescent="0.45">
      <c r="A47" t="s">
        <v>41</v>
      </c>
      <c r="B47">
        <v>1</v>
      </c>
    </row>
    <row r="48" spans="1:4" x14ac:dyDescent="0.45">
      <c r="A48" t="s">
        <v>42</v>
      </c>
      <c r="B48">
        <v>3</v>
      </c>
    </row>
    <row r="49" spans="1:2" x14ac:dyDescent="0.45">
      <c r="A49" t="s">
        <v>43</v>
      </c>
      <c r="B49">
        <v>2</v>
      </c>
    </row>
    <row r="50" spans="1:2" x14ac:dyDescent="0.45">
      <c r="A50" t="s">
        <v>44</v>
      </c>
      <c r="B50" t="s">
        <v>45</v>
      </c>
    </row>
    <row r="51" spans="1:2" x14ac:dyDescent="0.45">
      <c r="A51" t="s">
        <v>46</v>
      </c>
      <c r="B51" t="s">
        <v>656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9"/>
  <sheetViews>
    <sheetView tabSelected="1" topLeftCell="B1" zoomScale="65" zoomScaleNormal="100" workbookViewId="0">
      <pane ySplit="1" topLeftCell="A2" activePane="bottomLeft" state="frozen"/>
      <selection activeCell="C56" sqref="C56"/>
      <selection pane="bottomLeft" activeCell="J64" sqref="J64"/>
    </sheetView>
  </sheetViews>
  <sheetFormatPr defaultColWidth="8.6640625" defaultRowHeight="14.25" x14ac:dyDescent="0.45"/>
  <cols>
    <col min="1" max="1" width="8" customWidth="1"/>
    <col min="2" max="2" width="16" customWidth="1"/>
    <col min="3" max="3" width="26" customWidth="1"/>
    <col min="4" max="4" width="14.53125" customWidth="1"/>
    <col min="5" max="5" width="17" customWidth="1"/>
    <col min="6" max="6" width="12" customWidth="1"/>
    <col min="7" max="7" width="42" customWidth="1"/>
    <col min="8" max="8" width="22" customWidth="1"/>
    <col min="9" max="9" width="26" customWidth="1"/>
    <col min="10" max="10" width="42" customWidth="1"/>
    <col min="11" max="11" width="11.19921875" customWidth="1"/>
    <col min="12" max="12" width="10" customWidth="1"/>
    <col min="13" max="13" width="56.796875" customWidth="1"/>
  </cols>
  <sheetData>
    <row r="1" spans="1:13" s="20" customFormat="1" ht="46.15" customHeight="1" x14ac:dyDescent="0.45">
      <c r="A1" s="5" t="s">
        <v>47</v>
      </c>
      <c r="B1" s="6" t="s">
        <v>9</v>
      </c>
      <c r="C1" s="6" t="s">
        <v>48</v>
      </c>
      <c r="D1" s="6" t="s">
        <v>49</v>
      </c>
      <c r="E1" s="6" t="s">
        <v>50</v>
      </c>
      <c r="F1" s="6" t="s">
        <v>33</v>
      </c>
      <c r="G1" s="6" t="s">
        <v>51</v>
      </c>
      <c r="H1" s="6" t="s">
        <v>52</v>
      </c>
      <c r="I1" s="6" t="s">
        <v>53</v>
      </c>
      <c r="J1" s="6" t="s">
        <v>54</v>
      </c>
      <c r="K1" s="6" t="s">
        <v>27</v>
      </c>
      <c r="L1" s="6" t="s">
        <v>55</v>
      </c>
      <c r="M1" s="7" t="s">
        <v>56</v>
      </c>
    </row>
    <row r="2" spans="1:13" s="20" customFormat="1" ht="37.5" customHeight="1" x14ac:dyDescent="0.45">
      <c r="A2" s="8" t="s">
        <v>57</v>
      </c>
      <c r="B2" s="9" t="s">
        <v>11</v>
      </c>
      <c r="C2" s="9" t="s">
        <v>58</v>
      </c>
      <c r="D2" s="9" t="s">
        <v>59</v>
      </c>
      <c r="E2" s="9" t="s">
        <v>60</v>
      </c>
      <c r="F2" s="9" t="s">
        <v>34</v>
      </c>
      <c r="G2" s="9" t="s">
        <v>61</v>
      </c>
      <c r="H2" s="9" t="s">
        <v>62</v>
      </c>
      <c r="I2" s="9" t="s">
        <v>63</v>
      </c>
      <c r="J2" s="9" t="s">
        <v>64</v>
      </c>
      <c r="K2" s="10" t="s">
        <v>28</v>
      </c>
      <c r="L2" s="11" t="s">
        <v>3</v>
      </c>
      <c r="M2" s="12" t="s">
        <v>65</v>
      </c>
    </row>
    <row r="3" spans="1:13" s="20" customFormat="1" ht="37.5" customHeight="1" x14ac:dyDescent="0.45">
      <c r="A3" s="8" t="s">
        <v>66</v>
      </c>
      <c r="B3" s="9" t="s">
        <v>11</v>
      </c>
      <c r="C3" s="9" t="s">
        <v>58</v>
      </c>
      <c r="D3" s="9" t="s">
        <v>59</v>
      </c>
      <c r="E3" s="9" t="s">
        <v>60</v>
      </c>
      <c r="F3" s="9" t="s">
        <v>34</v>
      </c>
      <c r="G3" s="9" t="s">
        <v>67</v>
      </c>
      <c r="H3" s="9" t="s">
        <v>68</v>
      </c>
      <c r="I3" s="9" t="s">
        <v>69</v>
      </c>
      <c r="J3" s="9" t="s">
        <v>70</v>
      </c>
      <c r="K3" s="10" t="s">
        <v>28</v>
      </c>
      <c r="L3" s="11" t="s">
        <v>3</v>
      </c>
      <c r="M3" s="12" t="s">
        <v>71</v>
      </c>
    </row>
    <row r="4" spans="1:13" s="20" customFormat="1" ht="37.5" customHeight="1" x14ac:dyDescent="0.45">
      <c r="A4" s="8" t="s">
        <v>72</v>
      </c>
      <c r="B4" s="9" t="s">
        <v>11</v>
      </c>
      <c r="C4" s="9" t="s">
        <v>58</v>
      </c>
      <c r="D4" s="9" t="s">
        <v>59</v>
      </c>
      <c r="E4" s="9" t="s">
        <v>60</v>
      </c>
      <c r="F4" s="9" t="s">
        <v>35</v>
      </c>
      <c r="G4" s="9" t="s">
        <v>73</v>
      </c>
      <c r="H4" s="9" t="s">
        <v>74</v>
      </c>
      <c r="I4" s="9" t="s">
        <v>75</v>
      </c>
      <c r="J4" s="9" t="s">
        <v>76</v>
      </c>
      <c r="K4" s="10" t="s">
        <v>28</v>
      </c>
      <c r="L4" s="11" t="s">
        <v>3</v>
      </c>
      <c r="M4" s="12" t="s">
        <v>77</v>
      </c>
    </row>
    <row r="5" spans="1:13" s="20" customFormat="1" ht="37.5" customHeight="1" x14ac:dyDescent="0.45">
      <c r="A5" s="8" t="s">
        <v>78</v>
      </c>
      <c r="B5" s="9" t="s">
        <v>11</v>
      </c>
      <c r="C5" s="9" t="s">
        <v>58</v>
      </c>
      <c r="D5" s="9" t="s">
        <v>59</v>
      </c>
      <c r="E5" s="9" t="s">
        <v>60</v>
      </c>
      <c r="F5" s="9" t="s">
        <v>35</v>
      </c>
      <c r="G5" s="9" t="s">
        <v>79</v>
      </c>
      <c r="H5" s="9" t="s">
        <v>80</v>
      </c>
      <c r="I5" s="9" t="s">
        <v>81</v>
      </c>
      <c r="J5" s="9" t="s">
        <v>82</v>
      </c>
      <c r="K5" s="13" t="s">
        <v>29</v>
      </c>
      <c r="L5" s="11" t="s">
        <v>3</v>
      </c>
      <c r="M5" s="12" t="s">
        <v>83</v>
      </c>
    </row>
    <row r="6" spans="1:13" s="20" customFormat="1" ht="37.5" customHeight="1" x14ac:dyDescent="0.45">
      <c r="A6" s="8" t="s">
        <v>84</v>
      </c>
      <c r="B6" s="9" t="s">
        <v>11</v>
      </c>
      <c r="C6" s="9" t="s">
        <v>58</v>
      </c>
      <c r="D6" s="9" t="s">
        <v>59</v>
      </c>
      <c r="E6" s="9" t="s">
        <v>60</v>
      </c>
      <c r="F6" s="9" t="s">
        <v>36</v>
      </c>
      <c r="G6" s="9" t="s">
        <v>85</v>
      </c>
      <c r="H6" s="9" t="s">
        <v>80</v>
      </c>
      <c r="I6" s="9" t="s">
        <v>86</v>
      </c>
      <c r="J6" s="9" t="s">
        <v>87</v>
      </c>
      <c r="K6" s="13" t="s">
        <v>29</v>
      </c>
      <c r="L6" s="11" t="s">
        <v>3</v>
      </c>
      <c r="M6" s="12" t="s">
        <v>88</v>
      </c>
    </row>
    <row r="7" spans="1:13" s="20" customFormat="1" ht="37.5" customHeight="1" x14ac:dyDescent="0.45">
      <c r="A7" s="8" t="s">
        <v>89</v>
      </c>
      <c r="B7" s="9" t="s">
        <v>11</v>
      </c>
      <c r="C7" s="9" t="s">
        <v>58</v>
      </c>
      <c r="D7" s="9" t="s">
        <v>59</v>
      </c>
      <c r="E7" s="9" t="s">
        <v>60</v>
      </c>
      <c r="F7" s="9" t="s">
        <v>36</v>
      </c>
      <c r="G7" s="9" t="s">
        <v>90</v>
      </c>
      <c r="H7" s="9" t="s">
        <v>80</v>
      </c>
      <c r="I7" s="9" t="s">
        <v>91</v>
      </c>
      <c r="J7" s="9" t="s">
        <v>70</v>
      </c>
      <c r="K7" s="11" t="s">
        <v>30</v>
      </c>
      <c r="L7" s="11" t="s">
        <v>3</v>
      </c>
      <c r="M7" s="12" t="s">
        <v>92</v>
      </c>
    </row>
    <row r="8" spans="1:13" s="20" customFormat="1" ht="37.5" customHeight="1" x14ac:dyDescent="0.45">
      <c r="A8" s="8" t="s">
        <v>93</v>
      </c>
      <c r="B8" s="9" t="s">
        <v>11</v>
      </c>
      <c r="C8" s="9" t="s">
        <v>58</v>
      </c>
      <c r="D8" s="9" t="s">
        <v>59</v>
      </c>
      <c r="E8" s="9" t="s">
        <v>60</v>
      </c>
      <c r="F8" s="9" t="s">
        <v>36</v>
      </c>
      <c r="G8" s="9" t="s">
        <v>94</v>
      </c>
      <c r="H8" s="9" t="s">
        <v>80</v>
      </c>
      <c r="I8" s="9" t="s">
        <v>95</v>
      </c>
      <c r="J8" s="9" t="s">
        <v>87</v>
      </c>
      <c r="K8" s="11" t="s">
        <v>30</v>
      </c>
      <c r="L8" s="11" t="s">
        <v>3</v>
      </c>
      <c r="M8" s="12" t="s">
        <v>96</v>
      </c>
    </row>
    <row r="9" spans="1:13" s="20" customFormat="1" ht="37.5" customHeight="1" x14ac:dyDescent="0.45">
      <c r="A9" s="8" t="s">
        <v>97</v>
      </c>
      <c r="B9" s="9" t="s">
        <v>11</v>
      </c>
      <c r="C9" s="9" t="s">
        <v>58</v>
      </c>
      <c r="D9" s="9" t="s">
        <v>59</v>
      </c>
      <c r="E9" s="9" t="s">
        <v>60</v>
      </c>
      <c r="F9" s="9" t="s">
        <v>35</v>
      </c>
      <c r="G9" s="9" t="s">
        <v>98</v>
      </c>
      <c r="H9" s="9" t="s">
        <v>80</v>
      </c>
      <c r="I9" s="9" t="s">
        <v>99</v>
      </c>
      <c r="J9" s="9" t="s">
        <v>100</v>
      </c>
      <c r="K9" s="13" t="s">
        <v>29</v>
      </c>
      <c r="L9" s="11" t="s">
        <v>3</v>
      </c>
      <c r="M9" s="12" t="s">
        <v>101</v>
      </c>
    </row>
    <row r="10" spans="1:13" s="20" customFormat="1" ht="37.5" customHeight="1" x14ac:dyDescent="0.45">
      <c r="A10" s="8" t="s">
        <v>102</v>
      </c>
      <c r="B10" s="9" t="s">
        <v>11</v>
      </c>
      <c r="C10" s="9" t="s">
        <v>58</v>
      </c>
      <c r="D10" s="9" t="s">
        <v>59</v>
      </c>
      <c r="E10" s="9" t="s">
        <v>60</v>
      </c>
      <c r="F10" s="9" t="s">
        <v>37</v>
      </c>
      <c r="G10" s="9" t="s">
        <v>103</v>
      </c>
      <c r="H10" s="9" t="s">
        <v>80</v>
      </c>
      <c r="I10" s="9" t="s">
        <v>104</v>
      </c>
      <c r="J10" s="9" t="s">
        <v>105</v>
      </c>
      <c r="K10" s="13" t="s">
        <v>29</v>
      </c>
      <c r="L10" s="11" t="s">
        <v>3</v>
      </c>
      <c r="M10" s="12" t="s">
        <v>106</v>
      </c>
    </row>
    <row r="11" spans="1:13" s="20" customFormat="1" ht="37.5" customHeight="1" x14ac:dyDescent="0.45">
      <c r="A11" s="8" t="s">
        <v>107</v>
      </c>
      <c r="B11" s="9" t="s">
        <v>11</v>
      </c>
      <c r="C11" s="9" t="s">
        <v>58</v>
      </c>
      <c r="D11" s="9" t="s">
        <v>59</v>
      </c>
      <c r="E11" s="9" t="s">
        <v>60</v>
      </c>
      <c r="F11" s="9" t="s">
        <v>37</v>
      </c>
      <c r="G11" s="9" t="s">
        <v>108</v>
      </c>
      <c r="H11" s="9" t="s">
        <v>80</v>
      </c>
      <c r="I11" s="9" t="s">
        <v>109</v>
      </c>
      <c r="J11" s="9" t="s">
        <v>110</v>
      </c>
      <c r="K11" s="13" t="s">
        <v>29</v>
      </c>
      <c r="L11" s="11" t="s">
        <v>3</v>
      </c>
      <c r="M11" s="12" t="s">
        <v>111</v>
      </c>
    </row>
    <row r="12" spans="1:13" s="20" customFormat="1" ht="37.5" customHeight="1" x14ac:dyDescent="0.45">
      <c r="A12" s="8" t="s">
        <v>112</v>
      </c>
      <c r="B12" s="9" t="s">
        <v>11</v>
      </c>
      <c r="C12" s="9" t="s">
        <v>113</v>
      </c>
      <c r="D12" s="9" t="s">
        <v>59</v>
      </c>
      <c r="E12" s="9" t="s">
        <v>60</v>
      </c>
      <c r="F12" s="9" t="s">
        <v>34</v>
      </c>
      <c r="G12" s="9" t="s">
        <v>114</v>
      </c>
      <c r="H12" s="9" t="s">
        <v>115</v>
      </c>
      <c r="I12" s="9" t="s">
        <v>116</v>
      </c>
      <c r="J12" s="9" t="s">
        <v>117</v>
      </c>
      <c r="K12" s="10" t="s">
        <v>28</v>
      </c>
      <c r="L12" s="11" t="s">
        <v>3</v>
      </c>
      <c r="M12" s="12" t="s">
        <v>118</v>
      </c>
    </row>
    <row r="13" spans="1:13" s="20" customFormat="1" ht="37.5" customHeight="1" x14ac:dyDescent="0.45">
      <c r="A13" s="8" t="s">
        <v>119</v>
      </c>
      <c r="B13" s="9" t="s">
        <v>11</v>
      </c>
      <c r="C13" s="9" t="s">
        <v>113</v>
      </c>
      <c r="D13" s="9" t="s">
        <v>59</v>
      </c>
      <c r="E13" s="9" t="s">
        <v>60</v>
      </c>
      <c r="F13" s="9" t="s">
        <v>35</v>
      </c>
      <c r="G13" s="9" t="s">
        <v>120</v>
      </c>
      <c r="H13" s="9" t="s">
        <v>121</v>
      </c>
      <c r="I13" s="9" t="s">
        <v>122</v>
      </c>
      <c r="J13" s="9" t="s">
        <v>123</v>
      </c>
      <c r="K13" s="10" t="s">
        <v>28</v>
      </c>
      <c r="L13" s="11" t="s">
        <v>3</v>
      </c>
      <c r="M13" s="12" t="s">
        <v>124</v>
      </c>
    </row>
    <row r="14" spans="1:13" s="20" customFormat="1" ht="37.5" customHeight="1" x14ac:dyDescent="0.45">
      <c r="A14" s="8" t="s">
        <v>125</v>
      </c>
      <c r="B14" s="9" t="s">
        <v>11</v>
      </c>
      <c r="C14" s="9" t="s">
        <v>113</v>
      </c>
      <c r="D14" s="9" t="s">
        <v>59</v>
      </c>
      <c r="E14" s="9" t="s">
        <v>60</v>
      </c>
      <c r="F14" s="9" t="s">
        <v>35</v>
      </c>
      <c r="G14" s="9" t="s">
        <v>126</v>
      </c>
      <c r="H14" s="9" t="s">
        <v>80</v>
      </c>
      <c r="I14" s="9" t="s">
        <v>127</v>
      </c>
      <c r="J14" s="9" t="s">
        <v>128</v>
      </c>
      <c r="K14" s="10" t="s">
        <v>28</v>
      </c>
      <c r="L14" s="11" t="s">
        <v>3</v>
      </c>
      <c r="M14" s="12" t="s">
        <v>129</v>
      </c>
    </row>
    <row r="15" spans="1:13" s="20" customFormat="1" ht="37.5" customHeight="1" x14ac:dyDescent="0.45">
      <c r="A15" s="8" t="s">
        <v>130</v>
      </c>
      <c r="B15" s="9" t="s">
        <v>11</v>
      </c>
      <c r="C15" s="9" t="s">
        <v>113</v>
      </c>
      <c r="D15" s="9" t="s">
        <v>59</v>
      </c>
      <c r="E15" s="9" t="s">
        <v>60</v>
      </c>
      <c r="F15" s="9" t="s">
        <v>35</v>
      </c>
      <c r="G15" s="9" t="s">
        <v>131</v>
      </c>
      <c r="H15" s="9" t="s">
        <v>80</v>
      </c>
      <c r="I15" s="9" t="s">
        <v>132</v>
      </c>
      <c r="J15" s="9" t="s">
        <v>133</v>
      </c>
      <c r="K15" s="13" t="s">
        <v>29</v>
      </c>
      <c r="L15" s="11" t="s">
        <v>3</v>
      </c>
      <c r="M15" s="12" t="s">
        <v>134</v>
      </c>
    </row>
    <row r="16" spans="1:13" s="20" customFormat="1" ht="37.5" customHeight="1" x14ac:dyDescent="0.45">
      <c r="A16" s="8" t="s">
        <v>135</v>
      </c>
      <c r="B16" s="9" t="s">
        <v>11</v>
      </c>
      <c r="C16" s="9" t="s">
        <v>113</v>
      </c>
      <c r="D16" s="9" t="s">
        <v>59</v>
      </c>
      <c r="E16" s="9" t="s">
        <v>60</v>
      </c>
      <c r="F16" s="9" t="s">
        <v>37</v>
      </c>
      <c r="G16" s="9" t="s">
        <v>136</v>
      </c>
      <c r="H16" s="9" t="s">
        <v>80</v>
      </c>
      <c r="I16" s="9" t="s">
        <v>137</v>
      </c>
      <c r="J16" s="9" t="s">
        <v>138</v>
      </c>
      <c r="K16" s="10" t="s">
        <v>28</v>
      </c>
      <c r="L16" s="11" t="s">
        <v>3</v>
      </c>
      <c r="M16" s="12" t="s">
        <v>139</v>
      </c>
    </row>
    <row r="17" spans="1:13" s="20" customFormat="1" ht="37.5" customHeight="1" x14ac:dyDescent="0.45">
      <c r="A17" s="8" t="s">
        <v>140</v>
      </c>
      <c r="B17" s="9" t="s">
        <v>11</v>
      </c>
      <c r="C17" s="9" t="s">
        <v>141</v>
      </c>
      <c r="D17" s="9" t="s">
        <v>59</v>
      </c>
      <c r="E17" s="9" t="s">
        <v>60</v>
      </c>
      <c r="F17" s="9" t="s">
        <v>34</v>
      </c>
      <c r="G17" s="9" t="s">
        <v>142</v>
      </c>
      <c r="H17" s="9" t="s">
        <v>80</v>
      </c>
      <c r="I17" s="9" t="s">
        <v>80</v>
      </c>
      <c r="J17" s="9" t="s">
        <v>143</v>
      </c>
      <c r="K17" s="14" t="s">
        <v>31</v>
      </c>
      <c r="L17" s="11" t="s">
        <v>3</v>
      </c>
      <c r="M17" s="12" t="s">
        <v>144</v>
      </c>
    </row>
    <row r="18" spans="1:13" s="20" customFormat="1" ht="37.5" customHeight="1" x14ac:dyDescent="0.45">
      <c r="A18" s="8" t="s">
        <v>145</v>
      </c>
      <c r="B18" s="9" t="s">
        <v>11</v>
      </c>
      <c r="C18" s="9" t="s">
        <v>146</v>
      </c>
      <c r="D18" s="9" t="s">
        <v>59</v>
      </c>
      <c r="E18" s="9" t="s">
        <v>60</v>
      </c>
      <c r="F18" s="9" t="s">
        <v>34</v>
      </c>
      <c r="G18" s="9" t="s">
        <v>147</v>
      </c>
      <c r="H18" s="9" t="s">
        <v>121</v>
      </c>
      <c r="I18" s="9" t="s">
        <v>148</v>
      </c>
      <c r="J18" s="9" t="s">
        <v>149</v>
      </c>
      <c r="K18" s="13" t="s">
        <v>29</v>
      </c>
      <c r="L18" s="11" t="s">
        <v>3</v>
      </c>
      <c r="M18" s="12" t="s">
        <v>150</v>
      </c>
    </row>
    <row r="19" spans="1:13" s="20" customFormat="1" ht="37.5" customHeight="1" x14ac:dyDescent="0.45">
      <c r="A19" s="8" t="s">
        <v>151</v>
      </c>
      <c r="B19" s="9" t="s">
        <v>11</v>
      </c>
      <c r="C19" s="9" t="s">
        <v>146</v>
      </c>
      <c r="D19" s="9" t="s">
        <v>59</v>
      </c>
      <c r="E19" s="9" t="s">
        <v>60</v>
      </c>
      <c r="F19" s="9" t="s">
        <v>37</v>
      </c>
      <c r="G19" s="9" t="s">
        <v>152</v>
      </c>
      <c r="H19" s="9" t="s">
        <v>80</v>
      </c>
      <c r="I19" s="9" t="s">
        <v>127</v>
      </c>
      <c r="J19" s="9" t="s">
        <v>153</v>
      </c>
      <c r="K19" s="10" t="s">
        <v>28</v>
      </c>
      <c r="L19" s="11" t="s">
        <v>3</v>
      </c>
      <c r="M19" s="12" t="s">
        <v>154</v>
      </c>
    </row>
    <row r="20" spans="1:13" s="20" customFormat="1" ht="37.5" customHeight="1" x14ac:dyDescent="0.45">
      <c r="A20" s="8" t="s">
        <v>155</v>
      </c>
      <c r="B20" s="9" t="s">
        <v>11</v>
      </c>
      <c r="C20" s="9" t="s">
        <v>156</v>
      </c>
      <c r="D20" s="9" t="s">
        <v>59</v>
      </c>
      <c r="E20" s="9" t="s">
        <v>60</v>
      </c>
      <c r="F20" s="9" t="s">
        <v>35</v>
      </c>
      <c r="G20" s="9" t="s">
        <v>157</v>
      </c>
      <c r="H20" s="9" t="s">
        <v>80</v>
      </c>
      <c r="I20" s="9" t="s">
        <v>158</v>
      </c>
      <c r="J20" s="9" t="s">
        <v>159</v>
      </c>
      <c r="K20" s="10" t="s">
        <v>28</v>
      </c>
      <c r="L20" s="11" t="s">
        <v>3</v>
      </c>
      <c r="M20" s="12" t="s">
        <v>160</v>
      </c>
    </row>
    <row r="21" spans="1:13" s="20" customFormat="1" ht="37.5" customHeight="1" x14ac:dyDescent="0.45">
      <c r="A21" s="8" t="s">
        <v>161</v>
      </c>
      <c r="B21" s="9" t="s">
        <v>11</v>
      </c>
      <c r="C21" s="9" t="s">
        <v>156</v>
      </c>
      <c r="D21" s="9" t="s">
        <v>59</v>
      </c>
      <c r="E21" s="9" t="s">
        <v>60</v>
      </c>
      <c r="F21" s="9" t="s">
        <v>36</v>
      </c>
      <c r="G21" s="9" t="s">
        <v>162</v>
      </c>
      <c r="H21" s="9" t="s">
        <v>80</v>
      </c>
      <c r="I21" s="9" t="s">
        <v>163</v>
      </c>
      <c r="J21" s="9" t="s">
        <v>164</v>
      </c>
      <c r="K21" s="11" t="s">
        <v>30</v>
      </c>
      <c r="L21" s="11" t="s">
        <v>3</v>
      </c>
      <c r="M21" s="12" t="s">
        <v>83</v>
      </c>
    </row>
    <row r="22" spans="1:13" s="20" customFormat="1" ht="37.5" customHeight="1" x14ac:dyDescent="0.45">
      <c r="A22" s="8" t="s">
        <v>165</v>
      </c>
      <c r="B22" s="9" t="s">
        <v>11</v>
      </c>
      <c r="C22" s="9" t="s">
        <v>166</v>
      </c>
      <c r="D22" s="9" t="s">
        <v>59</v>
      </c>
      <c r="E22" s="9" t="s">
        <v>167</v>
      </c>
      <c r="F22" s="9" t="s">
        <v>34</v>
      </c>
      <c r="G22" s="9" t="s">
        <v>168</v>
      </c>
      <c r="H22" s="9" t="s">
        <v>169</v>
      </c>
      <c r="I22" s="9" t="s">
        <v>170</v>
      </c>
      <c r="J22" s="9" t="s">
        <v>171</v>
      </c>
      <c r="K22" s="10" t="s">
        <v>28</v>
      </c>
      <c r="L22" s="11" t="s">
        <v>3</v>
      </c>
      <c r="M22" s="12" t="s">
        <v>172</v>
      </c>
    </row>
    <row r="23" spans="1:13" s="20" customFormat="1" ht="37.5" customHeight="1" x14ac:dyDescent="0.45">
      <c r="A23" s="8" t="s">
        <v>173</v>
      </c>
      <c r="B23" s="9" t="s">
        <v>11</v>
      </c>
      <c r="C23" s="9" t="s">
        <v>166</v>
      </c>
      <c r="D23" s="9" t="s">
        <v>59</v>
      </c>
      <c r="E23" s="9" t="s">
        <v>167</v>
      </c>
      <c r="F23" s="9" t="s">
        <v>35</v>
      </c>
      <c r="G23" s="9" t="s">
        <v>174</v>
      </c>
      <c r="H23" s="9" t="s">
        <v>175</v>
      </c>
      <c r="I23" s="9" t="s">
        <v>176</v>
      </c>
      <c r="J23" s="9" t="s">
        <v>177</v>
      </c>
      <c r="K23" s="10" t="s">
        <v>28</v>
      </c>
      <c r="L23" s="11" t="s">
        <v>3</v>
      </c>
      <c r="M23" s="12" t="s">
        <v>178</v>
      </c>
    </row>
    <row r="24" spans="1:13" s="20" customFormat="1" ht="37.5" customHeight="1" x14ac:dyDescent="0.45">
      <c r="A24" s="8" t="s">
        <v>179</v>
      </c>
      <c r="B24" s="9" t="s">
        <v>11</v>
      </c>
      <c r="C24" s="9" t="s">
        <v>166</v>
      </c>
      <c r="D24" s="9" t="s">
        <v>59</v>
      </c>
      <c r="E24" s="9" t="s">
        <v>60</v>
      </c>
      <c r="F24" s="9" t="s">
        <v>35</v>
      </c>
      <c r="G24" s="9" t="s">
        <v>180</v>
      </c>
      <c r="H24" s="9" t="s">
        <v>181</v>
      </c>
      <c r="I24" s="9" t="s">
        <v>80</v>
      </c>
      <c r="J24" s="9" t="s">
        <v>182</v>
      </c>
      <c r="K24" s="10" t="s">
        <v>28</v>
      </c>
      <c r="L24" s="11" t="s">
        <v>3</v>
      </c>
      <c r="M24" s="12" t="s">
        <v>182</v>
      </c>
    </row>
    <row r="25" spans="1:13" s="20" customFormat="1" ht="37.5" customHeight="1" x14ac:dyDescent="0.45">
      <c r="A25" s="8" t="s">
        <v>183</v>
      </c>
      <c r="B25" s="9" t="s">
        <v>11</v>
      </c>
      <c r="C25" s="9" t="s">
        <v>166</v>
      </c>
      <c r="D25" s="9" t="s">
        <v>59</v>
      </c>
      <c r="E25" s="9" t="s">
        <v>167</v>
      </c>
      <c r="F25" s="9" t="s">
        <v>35</v>
      </c>
      <c r="G25" s="9" t="s">
        <v>184</v>
      </c>
      <c r="H25" s="9" t="s">
        <v>185</v>
      </c>
      <c r="I25" s="9" t="s">
        <v>186</v>
      </c>
      <c r="J25" s="9" t="s">
        <v>187</v>
      </c>
      <c r="K25" s="10" t="s">
        <v>28</v>
      </c>
      <c r="L25" s="11" t="s">
        <v>3</v>
      </c>
      <c r="M25" s="12" t="s">
        <v>188</v>
      </c>
    </row>
    <row r="26" spans="1:13" s="20" customFormat="1" ht="37.5" customHeight="1" x14ac:dyDescent="0.45">
      <c r="A26" s="8" t="s">
        <v>189</v>
      </c>
      <c r="B26" s="9" t="s">
        <v>12</v>
      </c>
      <c r="C26" s="9" t="s">
        <v>190</v>
      </c>
      <c r="D26" s="9" t="s">
        <v>191</v>
      </c>
      <c r="E26" s="9" t="s">
        <v>60</v>
      </c>
      <c r="F26" s="9" t="s">
        <v>34</v>
      </c>
      <c r="G26" s="9" t="s">
        <v>192</v>
      </c>
      <c r="H26" s="9" t="s">
        <v>80</v>
      </c>
      <c r="I26" s="9" t="s">
        <v>80</v>
      </c>
      <c r="J26" s="9" t="s">
        <v>193</v>
      </c>
      <c r="K26" s="11" t="s">
        <v>30</v>
      </c>
      <c r="L26" s="15" t="s">
        <v>6</v>
      </c>
      <c r="M26" s="12" t="s">
        <v>194</v>
      </c>
    </row>
    <row r="27" spans="1:13" s="20" customFormat="1" ht="37.5" customHeight="1" x14ac:dyDescent="0.45">
      <c r="A27" s="8" t="s">
        <v>195</v>
      </c>
      <c r="B27" s="9" t="s">
        <v>12</v>
      </c>
      <c r="C27" s="9" t="s">
        <v>196</v>
      </c>
      <c r="D27" s="9" t="s">
        <v>191</v>
      </c>
      <c r="E27" s="9" t="s">
        <v>60</v>
      </c>
      <c r="F27" s="9" t="s">
        <v>35</v>
      </c>
      <c r="G27" s="9" t="s">
        <v>197</v>
      </c>
      <c r="H27" s="9" t="s">
        <v>80</v>
      </c>
      <c r="I27" s="9" t="s">
        <v>198</v>
      </c>
      <c r="J27" s="9" t="s">
        <v>199</v>
      </c>
      <c r="K27" s="13" t="s">
        <v>29</v>
      </c>
      <c r="L27" s="15" t="s">
        <v>6</v>
      </c>
      <c r="M27" s="12" t="s">
        <v>200</v>
      </c>
    </row>
    <row r="28" spans="1:13" s="20" customFormat="1" ht="37.5" customHeight="1" x14ac:dyDescent="0.45">
      <c r="A28" s="8" t="s">
        <v>201</v>
      </c>
      <c r="B28" s="9" t="s">
        <v>12</v>
      </c>
      <c r="C28" s="9" t="s">
        <v>202</v>
      </c>
      <c r="D28" s="9" t="s">
        <v>59</v>
      </c>
      <c r="E28" s="9" t="s">
        <v>60</v>
      </c>
      <c r="F28" s="9" t="s">
        <v>35</v>
      </c>
      <c r="G28" s="9" t="s">
        <v>203</v>
      </c>
      <c r="H28" s="9" t="s">
        <v>80</v>
      </c>
      <c r="I28" s="9" t="s">
        <v>204</v>
      </c>
      <c r="J28" s="9" t="s">
        <v>205</v>
      </c>
      <c r="K28" s="13" t="s">
        <v>29</v>
      </c>
      <c r="L28" s="15" t="s">
        <v>6</v>
      </c>
      <c r="M28" s="12" t="s">
        <v>200</v>
      </c>
    </row>
    <row r="29" spans="1:13" s="20" customFormat="1" ht="37.5" customHeight="1" x14ac:dyDescent="0.45">
      <c r="A29" s="8" t="s">
        <v>206</v>
      </c>
      <c r="B29" s="9" t="s">
        <v>12</v>
      </c>
      <c r="C29" s="9" t="s">
        <v>207</v>
      </c>
      <c r="D29" s="9" t="s">
        <v>59</v>
      </c>
      <c r="E29" s="9" t="s">
        <v>60</v>
      </c>
      <c r="F29" s="9" t="s">
        <v>35</v>
      </c>
      <c r="G29" s="9" t="s">
        <v>208</v>
      </c>
      <c r="H29" s="9" t="s">
        <v>80</v>
      </c>
      <c r="I29" s="9" t="s">
        <v>209</v>
      </c>
      <c r="J29" s="9" t="s">
        <v>210</v>
      </c>
      <c r="K29" s="11" t="s">
        <v>30</v>
      </c>
      <c r="L29" s="15" t="s">
        <v>6</v>
      </c>
      <c r="M29" s="12" t="s">
        <v>200</v>
      </c>
    </row>
    <row r="30" spans="1:13" s="20" customFormat="1" ht="37.5" customHeight="1" x14ac:dyDescent="0.45">
      <c r="A30" s="8" t="s">
        <v>211</v>
      </c>
      <c r="B30" s="9" t="s">
        <v>13</v>
      </c>
      <c r="C30" s="9" t="s">
        <v>212</v>
      </c>
      <c r="D30" s="9" t="s">
        <v>191</v>
      </c>
      <c r="E30" s="9" t="s">
        <v>167</v>
      </c>
      <c r="F30" s="9" t="s">
        <v>34</v>
      </c>
      <c r="G30" s="9" t="s">
        <v>213</v>
      </c>
      <c r="H30" s="9" t="s">
        <v>175</v>
      </c>
      <c r="I30" s="9" t="s">
        <v>80</v>
      </c>
      <c r="J30" s="9" t="s">
        <v>214</v>
      </c>
      <c r="K30" s="10" t="s">
        <v>28</v>
      </c>
      <c r="L30" s="11" t="s">
        <v>3</v>
      </c>
      <c r="M30" s="12" t="s">
        <v>215</v>
      </c>
    </row>
    <row r="31" spans="1:13" s="20" customFormat="1" ht="37.5" customHeight="1" x14ac:dyDescent="0.45">
      <c r="A31" s="8" t="s">
        <v>216</v>
      </c>
      <c r="B31" s="9" t="s">
        <v>13</v>
      </c>
      <c r="C31" s="9" t="s">
        <v>212</v>
      </c>
      <c r="D31" s="9" t="s">
        <v>191</v>
      </c>
      <c r="E31" s="9" t="s">
        <v>60</v>
      </c>
      <c r="F31" s="9" t="s">
        <v>35</v>
      </c>
      <c r="G31" s="9" t="s">
        <v>217</v>
      </c>
      <c r="H31" s="9" t="s">
        <v>80</v>
      </c>
      <c r="I31" s="9" t="s">
        <v>80</v>
      </c>
      <c r="J31" s="9" t="s">
        <v>218</v>
      </c>
      <c r="K31" s="10" t="s">
        <v>28</v>
      </c>
      <c r="L31" s="11" t="s">
        <v>3</v>
      </c>
      <c r="M31" s="12" t="s">
        <v>219</v>
      </c>
    </row>
    <row r="32" spans="1:13" s="20" customFormat="1" ht="37.5" customHeight="1" x14ac:dyDescent="0.45">
      <c r="A32" s="8" t="s">
        <v>220</v>
      </c>
      <c r="B32" s="9" t="s">
        <v>13</v>
      </c>
      <c r="C32" s="9" t="s">
        <v>212</v>
      </c>
      <c r="D32" s="9" t="s">
        <v>221</v>
      </c>
      <c r="E32" s="9" t="s">
        <v>167</v>
      </c>
      <c r="F32" s="9" t="s">
        <v>34</v>
      </c>
      <c r="G32" s="9" t="s">
        <v>222</v>
      </c>
      <c r="H32" s="9" t="s">
        <v>175</v>
      </c>
      <c r="I32" s="9" t="s">
        <v>223</v>
      </c>
      <c r="J32" s="9" t="s">
        <v>224</v>
      </c>
      <c r="K32" s="13" t="s">
        <v>29</v>
      </c>
      <c r="L32" s="11" t="s">
        <v>3</v>
      </c>
      <c r="M32" s="12" t="s">
        <v>225</v>
      </c>
    </row>
    <row r="33" spans="1:13" s="20" customFormat="1" ht="37.5" customHeight="1" x14ac:dyDescent="0.45">
      <c r="A33" s="8" t="s">
        <v>226</v>
      </c>
      <c r="B33" s="9" t="s">
        <v>13</v>
      </c>
      <c r="C33" s="9" t="s">
        <v>212</v>
      </c>
      <c r="D33" s="9" t="s">
        <v>221</v>
      </c>
      <c r="E33" s="9" t="s">
        <v>167</v>
      </c>
      <c r="F33" s="9" t="s">
        <v>37</v>
      </c>
      <c r="G33" s="9" t="s">
        <v>227</v>
      </c>
      <c r="H33" s="9" t="s">
        <v>228</v>
      </c>
      <c r="I33" s="9" t="s">
        <v>229</v>
      </c>
      <c r="J33" s="9" t="s">
        <v>230</v>
      </c>
      <c r="K33" s="10" t="s">
        <v>28</v>
      </c>
      <c r="L33" s="11" t="s">
        <v>3</v>
      </c>
      <c r="M33" s="12" t="s">
        <v>231</v>
      </c>
    </row>
    <row r="34" spans="1:13" s="20" customFormat="1" ht="37.5" customHeight="1" x14ac:dyDescent="0.45">
      <c r="A34" s="8" t="s">
        <v>232</v>
      </c>
      <c r="B34" s="9" t="s">
        <v>13</v>
      </c>
      <c r="C34" s="9" t="s">
        <v>233</v>
      </c>
      <c r="D34" s="9" t="s">
        <v>221</v>
      </c>
      <c r="E34" s="9" t="s">
        <v>167</v>
      </c>
      <c r="F34" s="9" t="s">
        <v>35</v>
      </c>
      <c r="G34" s="9" t="s">
        <v>234</v>
      </c>
      <c r="H34" s="9" t="s">
        <v>235</v>
      </c>
      <c r="I34" s="9" t="s">
        <v>236</v>
      </c>
      <c r="J34" s="9" t="s">
        <v>237</v>
      </c>
      <c r="K34" s="10" t="s">
        <v>28</v>
      </c>
      <c r="L34" s="11" t="s">
        <v>3</v>
      </c>
      <c r="M34" s="12" t="s">
        <v>238</v>
      </c>
    </row>
    <row r="35" spans="1:13" s="20" customFormat="1" ht="37.5" customHeight="1" x14ac:dyDescent="0.45">
      <c r="A35" s="8" t="s">
        <v>239</v>
      </c>
      <c r="B35" s="9" t="s">
        <v>13</v>
      </c>
      <c r="C35" s="9" t="s">
        <v>240</v>
      </c>
      <c r="D35" s="9" t="s">
        <v>59</v>
      </c>
      <c r="E35" s="9" t="s">
        <v>167</v>
      </c>
      <c r="F35" s="9" t="s">
        <v>34</v>
      </c>
      <c r="G35" s="9" t="s">
        <v>241</v>
      </c>
      <c r="H35" s="9" t="s">
        <v>235</v>
      </c>
      <c r="I35" s="9" t="s">
        <v>242</v>
      </c>
      <c r="J35" s="9" t="s">
        <v>243</v>
      </c>
      <c r="K35" s="11" t="s">
        <v>30</v>
      </c>
      <c r="L35" s="11" t="s">
        <v>3</v>
      </c>
      <c r="M35" s="12" t="s">
        <v>244</v>
      </c>
    </row>
    <row r="36" spans="1:13" s="20" customFormat="1" ht="37.5" customHeight="1" x14ac:dyDescent="0.45">
      <c r="A36" s="8" t="s">
        <v>245</v>
      </c>
      <c r="B36" s="9" t="s">
        <v>13</v>
      </c>
      <c r="C36" s="9" t="s">
        <v>246</v>
      </c>
      <c r="D36" s="9" t="s">
        <v>59</v>
      </c>
      <c r="E36" s="9" t="s">
        <v>167</v>
      </c>
      <c r="F36" s="9" t="s">
        <v>34</v>
      </c>
      <c r="G36" s="9" t="s">
        <v>247</v>
      </c>
      <c r="H36" s="9" t="s">
        <v>175</v>
      </c>
      <c r="I36" s="9" t="s">
        <v>248</v>
      </c>
      <c r="J36" s="9" t="s">
        <v>249</v>
      </c>
      <c r="K36" s="13" t="s">
        <v>29</v>
      </c>
      <c r="L36" s="15" t="s">
        <v>6</v>
      </c>
      <c r="M36" s="12" t="s">
        <v>250</v>
      </c>
    </row>
    <row r="37" spans="1:13" s="20" customFormat="1" ht="37.5" customHeight="1" x14ac:dyDescent="0.45">
      <c r="A37" s="8" t="s">
        <v>251</v>
      </c>
      <c r="B37" s="9" t="s">
        <v>13</v>
      </c>
      <c r="C37" s="9" t="s">
        <v>246</v>
      </c>
      <c r="D37" s="9" t="s">
        <v>59</v>
      </c>
      <c r="E37" s="9" t="s">
        <v>167</v>
      </c>
      <c r="F37" s="9" t="s">
        <v>35</v>
      </c>
      <c r="G37" s="9" t="s">
        <v>252</v>
      </c>
      <c r="H37" s="9" t="s">
        <v>175</v>
      </c>
      <c r="I37" s="9" t="s">
        <v>253</v>
      </c>
      <c r="J37" s="9" t="s">
        <v>254</v>
      </c>
      <c r="K37" s="13" t="s">
        <v>29</v>
      </c>
      <c r="L37" s="15" t="s">
        <v>6</v>
      </c>
      <c r="M37" s="12" t="s">
        <v>255</v>
      </c>
    </row>
    <row r="38" spans="1:13" s="20" customFormat="1" ht="37.5" customHeight="1" x14ac:dyDescent="0.45">
      <c r="A38" s="8" t="s">
        <v>256</v>
      </c>
      <c r="B38" s="9" t="s">
        <v>13</v>
      </c>
      <c r="C38" s="9" t="s">
        <v>246</v>
      </c>
      <c r="D38" s="9" t="s">
        <v>59</v>
      </c>
      <c r="E38" s="9" t="s">
        <v>60</v>
      </c>
      <c r="F38" s="9" t="s">
        <v>35</v>
      </c>
      <c r="G38" s="9" t="s">
        <v>257</v>
      </c>
      <c r="H38" s="9" t="s">
        <v>80</v>
      </c>
      <c r="I38" s="9" t="s">
        <v>80</v>
      </c>
      <c r="J38" s="9" t="s">
        <v>218</v>
      </c>
      <c r="K38" s="13" t="s">
        <v>29</v>
      </c>
      <c r="L38" s="11" t="s">
        <v>3</v>
      </c>
      <c r="M38" s="12" t="s">
        <v>258</v>
      </c>
    </row>
    <row r="39" spans="1:13" s="20" customFormat="1" ht="37.5" customHeight="1" x14ac:dyDescent="0.45">
      <c r="A39" s="8" t="s">
        <v>259</v>
      </c>
      <c r="B39" s="9" t="s">
        <v>14</v>
      </c>
      <c r="C39" s="9" t="s">
        <v>260</v>
      </c>
      <c r="D39" s="9" t="s">
        <v>191</v>
      </c>
      <c r="E39" s="9" t="s">
        <v>60</v>
      </c>
      <c r="F39" s="9" t="s">
        <v>34</v>
      </c>
      <c r="G39" s="9" t="s">
        <v>261</v>
      </c>
      <c r="H39" s="9" t="s">
        <v>80</v>
      </c>
      <c r="I39" s="9" t="s">
        <v>80</v>
      </c>
      <c r="J39" s="9" t="s">
        <v>262</v>
      </c>
      <c r="K39" s="11" t="s">
        <v>30</v>
      </c>
      <c r="L39" s="11" t="s">
        <v>3</v>
      </c>
      <c r="M39" s="12" t="s">
        <v>263</v>
      </c>
    </row>
    <row r="40" spans="1:13" s="20" customFormat="1" ht="37.5" customHeight="1" x14ac:dyDescent="0.45">
      <c r="A40" s="8" t="s">
        <v>264</v>
      </c>
      <c r="B40" s="9" t="s">
        <v>14</v>
      </c>
      <c r="C40" s="9" t="s">
        <v>265</v>
      </c>
      <c r="D40" s="9" t="s">
        <v>191</v>
      </c>
      <c r="E40" s="9" t="s">
        <v>60</v>
      </c>
      <c r="F40" s="9" t="s">
        <v>34</v>
      </c>
      <c r="G40" s="9" t="s">
        <v>266</v>
      </c>
      <c r="H40" s="9" t="s">
        <v>80</v>
      </c>
      <c r="I40" s="9" t="s">
        <v>80</v>
      </c>
      <c r="J40" s="9" t="s">
        <v>267</v>
      </c>
      <c r="K40" s="11" t="s">
        <v>30</v>
      </c>
      <c r="L40" s="11" t="s">
        <v>3</v>
      </c>
      <c r="M40" s="12" t="s">
        <v>263</v>
      </c>
    </row>
    <row r="41" spans="1:13" s="20" customFormat="1" ht="37.5" customHeight="1" x14ac:dyDescent="0.45">
      <c r="A41" s="8" t="s">
        <v>268</v>
      </c>
      <c r="B41" s="9" t="s">
        <v>14</v>
      </c>
      <c r="C41" s="9" t="s">
        <v>269</v>
      </c>
      <c r="D41" s="9" t="s">
        <v>191</v>
      </c>
      <c r="E41" s="9" t="s">
        <v>60</v>
      </c>
      <c r="F41" s="9" t="s">
        <v>34</v>
      </c>
      <c r="G41" s="9" t="s">
        <v>270</v>
      </c>
      <c r="H41" s="9" t="s">
        <v>271</v>
      </c>
      <c r="I41" s="9" t="s">
        <v>80</v>
      </c>
      <c r="J41" s="9" t="s">
        <v>272</v>
      </c>
      <c r="K41" s="11" t="s">
        <v>30</v>
      </c>
      <c r="L41" s="11" t="s">
        <v>3</v>
      </c>
      <c r="M41" s="12" t="s">
        <v>273</v>
      </c>
    </row>
    <row r="42" spans="1:13" s="20" customFormat="1" ht="37.5" customHeight="1" x14ac:dyDescent="0.45">
      <c r="A42" s="8" t="s">
        <v>274</v>
      </c>
      <c r="B42" s="9" t="s">
        <v>14</v>
      </c>
      <c r="C42" s="9" t="s">
        <v>269</v>
      </c>
      <c r="D42" s="9" t="s">
        <v>191</v>
      </c>
      <c r="E42" s="9" t="s">
        <v>60</v>
      </c>
      <c r="F42" s="9" t="s">
        <v>35</v>
      </c>
      <c r="G42" s="9" t="s">
        <v>275</v>
      </c>
      <c r="H42" s="9" t="s">
        <v>80</v>
      </c>
      <c r="I42" s="9" t="s">
        <v>276</v>
      </c>
      <c r="J42" s="9" t="s">
        <v>277</v>
      </c>
      <c r="K42" s="11" t="s">
        <v>30</v>
      </c>
      <c r="L42" s="11" t="s">
        <v>3</v>
      </c>
      <c r="M42" s="12" t="s">
        <v>278</v>
      </c>
    </row>
    <row r="43" spans="1:13" s="20" customFormat="1" ht="37.5" customHeight="1" x14ac:dyDescent="0.45">
      <c r="A43" s="8" t="s">
        <v>279</v>
      </c>
      <c r="B43" s="9" t="s">
        <v>14</v>
      </c>
      <c r="C43" s="9" t="s">
        <v>269</v>
      </c>
      <c r="D43" s="9" t="s">
        <v>191</v>
      </c>
      <c r="E43" s="9" t="s">
        <v>60</v>
      </c>
      <c r="F43" s="9" t="s">
        <v>36</v>
      </c>
      <c r="G43" s="9" t="s">
        <v>280</v>
      </c>
      <c r="H43" s="9" t="s">
        <v>80</v>
      </c>
      <c r="I43" s="9" t="s">
        <v>281</v>
      </c>
      <c r="J43" s="9" t="s">
        <v>282</v>
      </c>
      <c r="K43" s="11" t="s">
        <v>30</v>
      </c>
      <c r="L43" s="11" t="s">
        <v>3</v>
      </c>
      <c r="M43" s="12" t="s">
        <v>661</v>
      </c>
    </row>
    <row r="44" spans="1:13" s="20" customFormat="1" ht="37.5" customHeight="1" x14ac:dyDescent="0.45">
      <c r="A44" s="8" t="s">
        <v>283</v>
      </c>
      <c r="B44" s="9" t="s">
        <v>14</v>
      </c>
      <c r="C44" s="9" t="s">
        <v>284</v>
      </c>
      <c r="D44" s="9" t="s">
        <v>191</v>
      </c>
      <c r="E44" s="9" t="s">
        <v>60</v>
      </c>
      <c r="F44" s="9" t="s">
        <v>35</v>
      </c>
      <c r="G44" s="9" t="s">
        <v>285</v>
      </c>
      <c r="H44" s="9" t="s">
        <v>80</v>
      </c>
      <c r="I44" s="9" t="s">
        <v>276</v>
      </c>
      <c r="J44" s="9" t="s">
        <v>277</v>
      </c>
      <c r="K44" s="11" t="s">
        <v>30</v>
      </c>
      <c r="L44" s="11" t="s">
        <v>3</v>
      </c>
      <c r="M44" s="12" t="s">
        <v>286</v>
      </c>
    </row>
    <row r="45" spans="1:13" s="20" customFormat="1" ht="37.5" customHeight="1" x14ac:dyDescent="0.45">
      <c r="A45" s="8" t="s">
        <v>287</v>
      </c>
      <c r="B45" s="9" t="s">
        <v>15</v>
      </c>
      <c r="C45" s="9" t="s">
        <v>288</v>
      </c>
      <c r="D45" s="9" t="s">
        <v>191</v>
      </c>
      <c r="E45" s="9" t="s">
        <v>60</v>
      </c>
      <c r="F45" s="9" t="s">
        <v>34</v>
      </c>
      <c r="G45" s="9" t="s">
        <v>289</v>
      </c>
      <c r="H45" s="9" t="s">
        <v>80</v>
      </c>
      <c r="I45" s="9" t="s">
        <v>80</v>
      </c>
      <c r="J45" s="9" t="s">
        <v>290</v>
      </c>
      <c r="K45" s="13" t="s">
        <v>29</v>
      </c>
      <c r="L45" s="11" t="s">
        <v>3</v>
      </c>
      <c r="M45" s="12" t="s">
        <v>291</v>
      </c>
    </row>
    <row r="46" spans="1:13" s="20" customFormat="1" ht="37.5" customHeight="1" x14ac:dyDescent="0.45">
      <c r="A46" s="8" t="s">
        <v>292</v>
      </c>
      <c r="B46" s="9" t="s">
        <v>15</v>
      </c>
      <c r="C46" s="9" t="s">
        <v>288</v>
      </c>
      <c r="D46" s="9" t="s">
        <v>191</v>
      </c>
      <c r="E46" s="9" t="s">
        <v>60</v>
      </c>
      <c r="F46" s="9" t="s">
        <v>37</v>
      </c>
      <c r="G46" s="9" t="s">
        <v>293</v>
      </c>
      <c r="H46" s="9" t="s">
        <v>80</v>
      </c>
      <c r="I46" s="9" t="s">
        <v>294</v>
      </c>
      <c r="J46" s="9" t="s">
        <v>295</v>
      </c>
      <c r="K46" s="10" t="s">
        <v>28</v>
      </c>
      <c r="L46" s="11" t="s">
        <v>3</v>
      </c>
      <c r="M46" s="12" t="s">
        <v>296</v>
      </c>
    </row>
    <row r="47" spans="1:13" s="20" customFormat="1" ht="37.5" customHeight="1" x14ac:dyDescent="0.45">
      <c r="A47" s="8" t="s">
        <v>297</v>
      </c>
      <c r="B47" s="9" t="s">
        <v>15</v>
      </c>
      <c r="C47" s="9" t="s">
        <v>298</v>
      </c>
      <c r="D47" s="9" t="s">
        <v>191</v>
      </c>
      <c r="E47" s="9" t="s">
        <v>167</v>
      </c>
      <c r="F47" s="9" t="s">
        <v>34</v>
      </c>
      <c r="G47" s="9" t="s">
        <v>299</v>
      </c>
      <c r="H47" s="9" t="s">
        <v>300</v>
      </c>
      <c r="I47" s="9" t="s">
        <v>80</v>
      </c>
      <c r="J47" s="9" t="s">
        <v>301</v>
      </c>
      <c r="K47" s="10" t="s">
        <v>28</v>
      </c>
      <c r="L47" s="11" t="s">
        <v>3</v>
      </c>
      <c r="M47" s="12" t="s">
        <v>302</v>
      </c>
    </row>
    <row r="48" spans="1:13" s="20" customFormat="1" ht="37.5" customHeight="1" x14ac:dyDescent="0.45">
      <c r="A48" s="8" t="s">
        <v>303</v>
      </c>
      <c r="B48" s="9" t="s">
        <v>15</v>
      </c>
      <c r="C48" s="9" t="s">
        <v>298</v>
      </c>
      <c r="D48" s="9" t="s">
        <v>191</v>
      </c>
      <c r="E48" s="9" t="s">
        <v>60</v>
      </c>
      <c r="F48" s="9" t="s">
        <v>35</v>
      </c>
      <c r="G48" s="9" t="s">
        <v>304</v>
      </c>
      <c r="H48" s="9" t="s">
        <v>80</v>
      </c>
      <c r="I48" s="9" t="s">
        <v>80</v>
      </c>
      <c r="J48" s="9" t="s">
        <v>218</v>
      </c>
      <c r="K48" s="10" t="s">
        <v>28</v>
      </c>
      <c r="L48" s="11" t="s">
        <v>3</v>
      </c>
      <c r="M48" s="12"/>
    </row>
    <row r="49" spans="1:13" s="20" customFormat="1" ht="37.5" customHeight="1" x14ac:dyDescent="0.45">
      <c r="A49" s="8" t="s">
        <v>305</v>
      </c>
      <c r="B49" s="9" t="s">
        <v>15</v>
      </c>
      <c r="C49" s="9" t="s">
        <v>306</v>
      </c>
      <c r="D49" s="9" t="s">
        <v>191</v>
      </c>
      <c r="E49" s="9" t="s">
        <v>167</v>
      </c>
      <c r="F49" s="9" t="s">
        <v>34</v>
      </c>
      <c r="G49" s="9" t="s">
        <v>307</v>
      </c>
      <c r="H49" s="9" t="s">
        <v>235</v>
      </c>
      <c r="I49" s="9" t="s">
        <v>80</v>
      </c>
      <c r="J49" s="9" t="s">
        <v>308</v>
      </c>
      <c r="K49" s="10" t="s">
        <v>28</v>
      </c>
      <c r="L49" s="11" t="s">
        <v>3</v>
      </c>
      <c r="M49" s="12" t="s">
        <v>309</v>
      </c>
    </row>
    <row r="50" spans="1:13" s="20" customFormat="1" ht="37.5" customHeight="1" x14ac:dyDescent="0.45">
      <c r="A50" s="8" t="s">
        <v>310</v>
      </c>
      <c r="B50" s="9" t="s">
        <v>15</v>
      </c>
      <c r="C50" s="9" t="s">
        <v>288</v>
      </c>
      <c r="D50" s="9" t="s">
        <v>59</v>
      </c>
      <c r="E50" s="9" t="s">
        <v>167</v>
      </c>
      <c r="F50" s="9" t="s">
        <v>34</v>
      </c>
      <c r="G50" s="9" t="s">
        <v>311</v>
      </c>
      <c r="H50" s="9" t="s">
        <v>300</v>
      </c>
      <c r="I50" s="9" t="s">
        <v>312</v>
      </c>
      <c r="J50" s="9" t="s">
        <v>313</v>
      </c>
      <c r="K50" s="10" t="s">
        <v>28</v>
      </c>
      <c r="L50" s="11" t="s">
        <v>3</v>
      </c>
      <c r="M50" s="12" t="s">
        <v>314</v>
      </c>
    </row>
    <row r="51" spans="1:13" s="20" customFormat="1" ht="37.5" customHeight="1" x14ac:dyDescent="0.45">
      <c r="A51" s="8" t="s">
        <v>315</v>
      </c>
      <c r="B51" s="9" t="s">
        <v>15</v>
      </c>
      <c r="C51" s="9" t="s">
        <v>288</v>
      </c>
      <c r="D51" s="9" t="s">
        <v>59</v>
      </c>
      <c r="E51" s="9" t="s">
        <v>167</v>
      </c>
      <c r="F51" s="9" t="s">
        <v>35</v>
      </c>
      <c r="G51" s="9" t="s">
        <v>316</v>
      </c>
      <c r="H51" s="9" t="s">
        <v>235</v>
      </c>
      <c r="I51" s="9" t="s">
        <v>317</v>
      </c>
      <c r="J51" s="9" t="s">
        <v>662</v>
      </c>
      <c r="K51" s="10" t="s">
        <v>28</v>
      </c>
      <c r="L51" s="11" t="s">
        <v>3</v>
      </c>
      <c r="M51" s="12" t="s">
        <v>318</v>
      </c>
    </row>
    <row r="52" spans="1:13" s="20" customFormat="1" ht="37.5" customHeight="1" x14ac:dyDescent="0.45">
      <c r="A52" s="8" t="s">
        <v>319</v>
      </c>
      <c r="B52" s="9" t="s">
        <v>15</v>
      </c>
      <c r="C52" s="9" t="s">
        <v>288</v>
      </c>
      <c r="D52" s="9" t="s">
        <v>59</v>
      </c>
      <c r="E52" s="9" t="s">
        <v>167</v>
      </c>
      <c r="F52" s="9" t="s">
        <v>35</v>
      </c>
      <c r="G52" s="9" t="s">
        <v>320</v>
      </c>
      <c r="H52" s="9" t="s">
        <v>300</v>
      </c>
      <c r="I52" s="9" t="s">
        <v>321</v>
      </c>
      <c r="J52" s="9" t="s">
        <v>322</v>
      </c>
      <c r="K52" s="13" t="s">
        <v>29</v>
      </c>
      <c r="L52" s="11" t="s">
        <v>3</v>
      </c>
      <c r="M52" s="12" t="s">
        <v>323</v>
      </c>
    </row>
    <row r="53" spans="1:13" s="20" customFormat="1" ht="37.5" customHeight="1" x14ac:dyDescent="0.45">
      <c r="A53" s="8" t="s">
        <v>324</v>
      </c>
      <c r="B53" s="9" t="s">
        <v>15</v>
      </c>
      <c r="C53" s="9" t="s">
        <v>288</v>
      </c>
      <c r="D53" s="9" t="s">
        <v>59</v>
      </c>
      <c r="E53" s="9" t="s">
        <v>167</v>
      </c>
      <c r="F53" s="9" t="s">
        <v>36</v>
      </c>
      <c r="G53" s="9" t="s">
        <v>325</v>
      </c>
      <c r="H53" s="9" t="s">
        <v>300</v>
      </c>
      <c r="I53" s="9" t="s">
        <v>326</v>
      </c>
      <c r="J53" s="9" t="s">
        <v>210</v>
      </c>
      <c r="K53" s="11" t="s">
        <v>30</v>
      </c>
      <c r="L53" s="11" t="s">
        <v>3</v>
      </c>
      <c r="M53" s="12" t="s">
        <v>327</v>
      </c>
    </row>
    <row r="54" spans="1:13" s="20" customFormat="1" ht="37.5" customHeight="1" x14ac:dyDescent="0.45">
      <c r="A54" s="8" t="s">
        <v>328</v>
      </c>
      <c r="B54" s="9" t="s">
        <v>15</v>
      </c>
      <c r="C54" s="9" t="s">
        <v>288</v>
      </c>
      <c r="D54" s="9" t="s">
        <v>59</v>
      </c>
      <c r="E54" s="9" t="s">
        <v>167</v>
      </c>
      <c r="F54" s="9" t="s">
        <v>36</v>
      </c>
      <c r="G54" s="9" t="s">
        <v>329</v>
      </c>
      <c r="H54" s="9" t="s">
        <v>300</v>
      </c>
      <c r="I54" s="9" t="s">
        <v>330</v>
      </c>
      <c r="J54" s="9" t="s">
        <v>70</v>
      </c>
      <c r="K54" s="11" t="s">
        <v>30</v>
      </c>
      <c r="L54" s="11" t="s">
        <v>3</v>
      </c>
      <c r="M54" s="12" t="s">
        <v>331</v>
      </c>
    </row>
    <row r="55" spans="1:13" s="20" customFormat="1" ht="37.5" customHeight="1" x14ac:dyDescent="0.45">
      <c r="A55" s="8" t="s">
        <v>332</v>
      </c>
      <c r="B55" s="9" t="s">
        <v>15</v>
      </c>
      <c r="C55" s="9" t="s">
        <v>288</v>
      </c>
      <c r="D55" s="9" t="s">
        <v>59</v>
      </c>
      <c r="E55" s="9" t="s">
        <v>167</v>
      </c>
      <c r="F55" s="9" t="s">
        <v>36</v>
      </c>
      <c r="G55" s="9" t="s">
        <v>333</v>
      </c>
      <c r="H55" s="9" t="s">
        <v>300</v>
      </c>
      <c r="I55" s="9" t="s">
        <v>334</v>
      </c>
      <c r="J55" s="9" t="s">
        <v>210</v>
      </c>
      <c r="K55" s="11" t="s">
        <v>30</v>
      </c>
      <c r="L55" s="11" t="s">
        <v>3</v>
      </c>
      <c r="M55" s="12" t="s">
        <v>335</v>
      </c>
    </row>
    <row r="56" spans="1:13" s="20" customFormat="1" ht="37.5" customHeight="1" x14ac:dyDescent="0.45">
      <c r="A56" s="8" t="s">
        <v>336</v>
      </c>
      <c r="B56" s="9" t="s">
        <v>15</v>
      </c>
      <c r="C56" s="9" t="s">
        <v>288</v>
      </c>
      <c r="D56" s="9" t="s">
        <v>59</v>
      </c>
      <c r="E56" s="9" t="s">
        <v>167</v>
      </c>
      <c r="F56" s="9" t="s">
        <v>37</v>
      </c>
      <c r="G56" s="9" t="s">
        <v>337</v>
      </c>
      <c r="H56" s="9" t="s">
        <v>300</v>
      </c>
      <c r="I56" s="9" t="s">
        <v>338</v>
      </c>
      <c r="J56" s="9" t="s">
        <v>339</v>
      </c>
      <c r="K56" s="13" t="s">
        <v>29</v>
      </c>
      <c r="L56" s="11" t="s">
        <v>3</v>
      </c>
      <c r="M56" s="12" t="s">
        <v>111</v>
      </c>
    </row>
    <row r="57" spans="1:13" s="20" customFormat="1" ht="37.5" customHeight="1" x14ac:dyDescent="0.45">
      <c r="A57" s="8" t="s">
        <v>340</v>
      </c>
      <c r="B57" s="9" t="s">
        <v>15</v>
      </c>
      <c r="C57" s="9" t="s">
        <v>341</v>
      </c>
      <c r="D57" s="9" t="s">
        <v>191</v>
      </c>
      <c r="E57" s="9" t="s">
        <v>60</v>
      </c>
      <c r="F57" s="9" t="s">
        <v>34</v>
      </c>
      <c r="G57" s="9" t="s">
        <v>342</v>
      </c>
      <c r="H57" s="9" t="s">
        <v>343</v>
      </c>
      <c r="I57" s="9" t="s">
        <v>80</v>
      </c>
      <c r="J57" s="9" t="s">
        <v>344</v>
      </c>
      <c r="K57" s="11" t="s">
        <v>30</v>
      </c>
      <c r="L57" s="11" t="s">
        <v>3</v>
      </c>
      <c r="M57" s="12" t="s">
        <v>345</v>
      </c>
    </row>
    <row r="58" spans="1:13" s="20" customFormat="1" ht="37.5" customHeight="1" x14ac:dyDescent="0.45">
      <c r="A58" s="8" t="s">
        <v>346</v>
      </c>
      <c r="B58" s="9" t="s">
        <v>15</v>
      </c>
      <c r="C58" s="9" t="s">
        <v>341</v>
      </c>
      <c r="D58" s="9" t="s">
        <v>221</v>
      </c>
      <c r="E58" s="9" t="s">
        <v>167</v>
      </c>
      <c r="F58" s="9" t="s">
        <v>37</v>
      </c>
      <c r="G58" s="9" t="s">
        <v>347</v>
      </c>
      <c r="H58" s="9" t="s">
        <v>348</v>
      </c>
      <c r="I58" s="9" t="s">
        <v>349</v>
      </c>
      <c r="J58" s="9" t="s">
        <v>657</v>
      </c>
      <c r="K58" s="10" t="s">
        <v>28</v>
      </c>
      <c r="L58" s="11" t="s">
        <v>3</v>
      </c>
      <c r="M58" s="12" t="s">
        <v>660</v>
      </c>
    </row>
    <row r="59" spans="1:13" s="20" customFormat="1" ht="37.5" customHeight="1" x14ac:dyDescent="0.45">
      <c r="A59" s="8" t="s">
        <v>351</v>
      </c>
      <c r="B59" s="9" t="s">
        <v>15</v>
      </c>
      <c r="C59" s="9" t="s">
        <v>352</v>
      </c>
      <c r="D59" s="9" t="s">
        <v>191</v>
      </c>
      <c r="E59" s="9" t="s">
        <v>167</v>
      </c>
      <c r="F59" s="9" t="s">
        <v>37</v>
      </c>
      <c r="G59" s="9" t="s">
        <v>353</v>
      </c>
      <c r="H59" s="9" t="s">
        <v>354</v>
      </c>
      <c r="I59" s="9" t="s">
        <v>355</v>
      </c>
      <c r="J59" s="9" t="s">
        <v>658</v>
      </c>
      <c r="K59" s="10" t="s">
        <v>28</v>
      </c>
      <c r="L59" s="11" t="s">
        <v>3</v>
      </c>
      <c r="M59" s="12" t="s">
        <v>356</v>
      </c>
    </row>
    <row r="60" spans="1:13" s="20" customFormat="1" ht="37.5" customHeight="1" x14ac:dyDescent="0.45">
      <c r="A60" s="8" t="s">
        <v>357</v>
      </c>
      <c r="B60" s="9" t="s">
        <v>15</v>
      </c>
      <c r="C60" s="9" t="s">
        <v>358</v>
      </c>
      <c r="D60" s="9" t="s">
        <v>59</v>
      </c>
      <c r="E60" s="9" t="s">
        <v>167</v>
      </c>
      <c r="F60" s="9" t="s">
        <v>34</v>
      </c>
      <c r="G60" s="9" t="s">
        <v>359</v>
      </c>
      <c r="H60" s="9" t="s">
        <v>360</v>
      </c>
      <c r="I60" s="9" t="s">
        <v>361</v>
      </c>
      <c r="J60" s="9" t="s">
        <v>362</v>
      </c>
      <c r="K60" s="10" t="s">
        <v>28</v>
      </c>
      <c r="L60" s="11" t="s">
        <v>3</v>
      </c>
      <c r="M60" s="12" t="s">
        <v>363</v>
      </c>
    </row>
    <row r="61" spans="1:13" s="20" customFormat="1" ht="37.5" customHeight="1" x14ac:dyDescent="0.45">
      <c r="A61" s="8" t="s">
        <v>364</v>
      </c>
      <c r="B61" s="9" t="s">
        <v>15</v>
      </c>
      <c r="C61" s="9" t="s">
        <v>358</v>
      </c>
      <c r="D61" s="9" t="s">
        <v>59</v>
      </c>
      <c r="E61" s="9" t="s">
        <v>167</v>
      </c>
      <c r="F61" s="9" t="s">
        <v>35</v>
      </c>
      <c r="G61" s="9" t="s">
        <v>365</v>
      </c>
      <c r="H61" s="9" t="s">
        <v>366</v>
      </c>
      <c r="I61" s="9" t="s">
        <v>367</v>
      </c>
      <c r="J61" s="9" t="s">
        <v>368</v>
      </c>
      <c r="K61" s="13" t="s">
        <v>29</v>
      </c>
      <c r="L61" s="11" t="s">
        <v>3</v>
      </c>
      <c r="M61" s="12" t="s">
        <v>369</v>
      </c>
    </row>
    <row r="62" spans="1:13" s="20" customFormat="1" ht="37.5" customHeight="1" x14ac:dyDescent="0.45">
      <c r="A62" s="8" t="s">
        <v>370</v>
      </c>
      <c r="B62" s="9" t="s">
        <v>15</v>
      </c>
      <c r="C62" s="9" t="s">
        <v>358</v>
      </c>
      <c r="D62" s="9" t="s">
        <v>59</v>
      </c>
      <c r="E62" s="9" t="s">
        <v>167</v>
      </c>
      <c r="F62" s="9" t="s">
        <v>35</v>
      </c>
      <c r="G62" s="9" t="s">
        <v>371</v>
      </c>
      <c r="H62" s="9" t="s">
        <v>300</v>
      </c>
      <c r="I62" s="9" t="s">
        <v>80</v>
      </c>
      <c r="J62" s="9" t="s">
        <v>659</v>
      </c>
      <c r="K62" s="13" t="s">
        <v>29</v>
      </c>
      <c r="L62" s="11" t="s">
        <v>3</v>
      </c>
      <c r="M62" s="12" t="s">
        <v>372</v>
      </c>
    </row>
    <row r="63" spans="1:13" s="20" customFormat="1" ht="37.5" customHeight="1" x14ac:dyDescent="0.45">
      <c r="A63" s="8" t="s">
        <v>373</v>
      </c>
      <c r="B63" s="9" t="s">
        <v>15</v>
      </c>
      <c r="C63" s="9" t="s">
        <v>374</v>
      </c>
      <c r="D63" s="9" t="s">
        <v>375</v>
      </c>
      <c r="E63" s="9" t="s">
        <v>167</v>
      </c>
      <c r="F63" s="9" t="s">
        <v>34</v>
      </c>
      <c r="G63" s="9" t="s">
        <v>376</v>
      </c>
      <c r="H63" s="9" t="s">
        <v>377</v>
      </c>
      <c r="I63" s="9" t="s">
        <v>378</v>
      </c>
      <c r="J63" s="9" t="s">
        <v>379</v>
      </c>
      <c r="K63" s="13" t="s">
        <v>29</v>
      </c>
      <c r="L63" s="11" t="s">
        <v>3</v>
      </c>
      <c r="M63" s="12" t="s">
        <v>380</v>
      </c>
    </row>
    <row r="64" spans="1:13" s="20" customFormat="1" ht="37.5" customHeight="1" x14ac:dyDescent="0.45">
      <c r="A64" s="8" t="s">
        <v>381</v>
      </c>
      <c r="B64" s="9" t="s">
        <v>15</v>
      </c>
      <c r="C64" s="9" t="s">
        <v>374</v>
      </c>
      <c r="D64" s="9" t="s">
        <v>375</v>
      </c>
      <c r="E64" s="9" t="s">
        <v>167</v>
      </c>
      <c r="F64" s="9" t="s">
        <v>37</v>
      </c>
      <c r="G64" s="9" t="s">
        <v>382</v>
      </c>
      <c r="H64" s="9" t="s">
        <v>383</v>
      </c>
      <c r="I64" s="9" t="s">
        <v>384</v>
      </c>
      <c r="J64" s="9" t="s">
        <v>657</v>
      </c>
      <c r="K64" s="10" t="s">
        <v>28</v>
      </c>
      <c r="L64" s="11" t="s">
        <v>3</v>
      </c>
      <c r="M64" s="12" t="s">
        <v>385</v>
      </c>
    </row>
    <row r="65" spans="1:13" s="20" customFormat="1" ht="37.5" customHeight="1" x14ac:dyDescent="0.45">
      <c r="A65" s="8" t="s">
        <v>386</v>
      </c>
      <c r="B65" s="9" t="s">
        <v>15</v>
      </c>
      <c r="C65" s="9" t="s">
        <v>374</v>
      </c>
      <c r="D65" s="9" t="s">
        <v>375</v>
      </c>
      <c r="E65" s="9" t="s">
        <v>167</v>
      </c>
      <c r="F65" s="9" t="s">
        <v>35</v>
      </c>
      <c r="G65" s="9" t="s">
        <v>387</v>
      </c>
      <c r="H65" s="9" t="s">
        <v>388</v>
      </c>
      <c r="I65" s="9" t="s">
        <v>389</v>
      </c>
      <c r="J65" s="9" t="s">
        <v>390</v>
      </c>
      <c r="K65" s="11" t="s">
        <v>30</v>
      </c>
      <c r="L65" s="11" t="s">
        <v>3</v>
      </c>
      <c r="M65" s="12" t="s">
        <v>390</v>
      </c>
    </row>
    <row r="66" spans="1:13" s="20" customFormat="1" ht="37.5" customHeight="1" x14ac:dyDescent="0.45">
      <c r="A66" s="8" t="s">
        <v>391</v>
      </c>
      <c r="B66" s="9" t="s">
        <v>15</v>
      </c>
      <c r="C66" s="9" t="s">
        <v>392</v>
      </c>
      <c r="D66" s="9" t="s">
        <v>59</v>
      </c>
      <c r="E66" s="9" t="s">
        <v>167</v>
      </c>
      <c r="F66" s="9" t="s">
        <v>36</v>
      </c>
      <c r="G66" s="9" t="s">
        <v>393</v>
      </c>
      <c r="H66" s="9" t="s">
        <v>394</v>
      </c>
      <c r="I66" s="9" t="s">
        <v>395</v>
      </c>
      <c r="J66" s="9" t="s">
        <v>210</v>
      </c>
      <c r="K66" s="11" t="s">
        <v>30</v>
      </c>
      <c r="L66" s="11" t="s">
        <v>3</v>
      </c>
      <c r="M66" s="12" t="s">
        <v>396</v>
      </c>
    </row>
    <row r="67" spans="1:13" s="20" customFormat="1" ht="37.5" customHeight="1" x14ac:dyDescent="0.45">
      <c r="A67" s="8" t="s">
        <v>397</v>
      </c>
      <c r="B67" s="9" t="s">
        <v>16</v>
      </c>
      <c r="C67" s="9" t="s">
        <v>398</v>
      </c>
      <c r="D67" s="9" t="s">
        <v>191</v>
      </c>
      <c r="E67" s="9" t="s">
        <v>167</v>
      </c>
      <c r="F67" s="9" t="s">
        <v>34</v>
      </c>
      <c r="G67" s="9" t="s">
        <v>399</v>
      </c>
      <c r="H67" s="9" t="s">
        <v>235</v>
      </c>
      <c r="I67" s="9" t="s">
        <v>80</v>
      </c>
      <c r="J67" s="9" t="s">
        <v>400</v>
      </c>
      <c r="K67" s="13" t="s">
        <v>29</v>
      </c>
      <c r="L67" s="11" t="s">
        <v>3</v>
      </c>
      <c r="M67" s="12" t="s">
        <v>669</v>
      </c>
    </row>
    <row r="68" spans="1:13" s="20" customFormat="1" ht="37.5" customHeight="1" x14ac:dyDescent="0.45">
      <c r="A68" s="8" t="s">
        <v>401</v>
      </c>
      <c r="B68" s="9" t="s">
        <v>16</v>
      </c>
      <c r="C68" s="9" t="s">
        <v>398</v>
      </c>
      <c r="D68" s="9" t="s">
        <v>59</v>
      </c>
      <c r="E68" s="9" t="s">
        <v>167</v>
      </c>
      <c r="F68" s="9" t="s">
        <v>34</v>
      </c>
      <c r="G68" s="9" t="s">
        <v>402</v>
      </c>
      <c r="H68" s="9" t="s">
        <v>403</v>
      </c>
      <c r="I68" s="9" t="s">
        <v>404</v>
      </c>
      <c r="J68" s="9" t="s">
        <v>405</v>
      </c>
      <c r="K68" s="13" t="s">
        <v>29</v>
      </c>
      <c r="L68" s="11" t="s">
        <v>3</v>
      </c>
      <c r="M68" s="12" t="s">
        <v>669</v>
      </c>
    </row>
    <row r="69" spans="1:13" s="20" customFormat="1" ht="37.5" customHeight="1" x14ac:dyDescent="0.45">
      <c r="A69" s="8" t="s">
        <v>406</v>
      </c>
      <c r="B69" s="9" t="s">
        <v>16</v>
      </c>
      <c r="C69" s="9" t="s">
        <v>398</v>
      </c>
      <c r="D69" s="9" t="s">
        <v>59</v>
      </c>
      <c r="E69" s="9" t="s">
        <v>167</v>
      </c>
      <c r="F69" s="9" t="s">
        <v>35</v>
      </c>
      <c r="G69" s="9" t="s">
        <v>407</v>
      </c>
      <c r="H69" s="9" t="s">
        <v>175</v>
      </c>
      <c r="I69" s="9" t="s">
        <v>408</v>
      </c>
      <c r="J69" s="9" t="s">
        <v>210</v>
      </c>
      <c r="K69" s="11" t="s">
        <v>30</v>
      </c>
      <c r="L69" s="11" t="s">
        <v>3</v>
      </c>
      <c r="M69" s="12" t="s">
        <v>669</v>
      </c>
    </row>
    <row r="70" spans="1:13" s="20" customFormat="1" ht="37.5" customHeight="1" x14ac:dyDescent="0.45">
      <c r="A70" s="8" t="s">
        <v>409</v>
      </c>
      <c r="B70" s="9" t="s">
        <v>16</v>
      </c>
      <c r="C70" s="9" t="s">
        <v>410</v>
      </c>
      <c r="D70" s="9" t="s">
        <v>59</v>
      </c>
      <c r="E70" s="9" t="s">
        <v>167</v>
      </c>
      <c r="F70" s="9" t="s">
        <v>34</v>
      </c>
      <c r="G70" s="9" t="s">
        <v>411</v>
      </c>
      <c r="H70" s="9" t="s">
        <v>412</v>
      </c>
      <c r="I70" s="9" t="s">
        <v>413</v>
      </c>
      <c r="J70" s="9" t="s">
        <v>414</v>
      </c>
      <c r="K70" s="11" t="s">
        <v>30</v>
      </c>
      <c r="L70" s="11" t="s">
        <v>3</v>
      </c>
      <c r="M70" s="12" t="s">
        <v>669</v>
      </c>
    </row>
    <row r="71" spans="1:13" s="20" customFormat="1" ht="37.5" customHeight="1" x14ac:dyDescent="0.45">
      <c r="A71" s="8" t="s">
        <v>415</v>
      </c>
      <c r="B71" s="9" t="s">
        <v>16</v>
      </c>
      <c r="C71" s="9" t="s">
        <v>410</v>
      </c>
      <c r="D71" s="9" t="s">
        <v>59</v>
      </c>
      <c r="E71" s="9" t="s">
        <v>167</v>
      </c>
      <c r="F71" s="9" t="s">
        <v>37</v>
      </c>
      <c r="G71" s="9" t="s">
        <v>416</v>
      </c>
      <c r="H71" s="9" t="s">
        <v>417</v>
      </c>
      <c r="I71" s="9" t="s">
        <v>80</v>
      </c>
      <c r="J71" s="9" t="s">
        <v>657</v>
      </c>
      <c r="K71" s="10" t="s">
        <v>28</v>
      </c>
      <c r="L71" s="11" t="s">
        <v>3</v>
      </c>
      <c r="M71" s="12" t="s">
        <v>669</v>
      </c>
    </row>
    <row r="72" spans="1:13" s="20" customFormat="1" ht="37.5" customHeight="1" x14ac:dyDescent="0.45">
      <c r="A72" s="8" t="s">
        <v>418</v>
      </c>
      <c r="B72" s="9" t="s">
        <v>16</v>
      </c>
      <c r="C72" s="9" t="s">
        <v>419</v>
      </c>
      <c r="D72" s="9" t="s">
        <v>191</v>
      </c>
      <c r="E72" s="9" t="s">
        <v>167</v>
      </c>
      <c r="F72" s="9" t="s">
        <v>37</v>
      </c>
      <c r="G72" s="9" t="s">
        <v>420</v>
      </c>
      <c r="H72" s="9" t="s">
        <v>421</v>
      </c>
      <c r="I72" s="9" t="s">
        <v>80</v>
      </c>
      <c r="J72" s="9" t="s">
        <v>670</v>
      </c>
      <c r="K72" s="10" t="s">
        <v>28</v>
      </c>
      <c r="L72" s="11" t="s">
        <v>3</v>
      </c>
      <c r="M72" s="12" t="s">
        <v>669</v>
      </c>
    </row>
    <row r="73" spans="1:13" s="20" customFormat="1" ht="37.5" customHeight="1" x14ac:dyDescent="0.45">
      <c r="A73" s="8" t="s">
        <v>422</v>
      </c>
      <c r="B73" s="9" t="s">
        <v>16</v>
      </c>
      <c r="C73" s="9" t="s">
        <v>423</v>
      </c>
      <c r="D73" s="9" t="s">
        <v>59</v>
      </c>
      <c r="E73" s="9" t="s">
        <v>167</v>
      </c>
      <c r="F73" s="9" t="s">
        <v>34</v>
      </c>
      <c r="G73" s="9" t="s">
        <v>424</v>
      </c>
      <c r="H73" s="9" t="s">
        <v>425</v>
      </c>
      <c r="I73" s="9" t="s">
        <v>426</v>
      </c>
      <c r="J73" s="9" t="s">
        <v>427</v>
      </c>
      <c r="K73" s="10" t="s">
        <v>28</v>
      </c>
      <c r="L73" s="11" t="s">
        <v>3</v>
      </c>
      <c r="M73" s="12" t="s">
        <v>669</v>
      </c>
    </row>
    <row r="74" spans="1:13" s="20" customFormat="1" ht="37.5" customHeight="1" x14ac:dyDescent="0.45">
      <c r="A74" s="8" t="s">
        <v>428</v>
      </c>
      <c r="B74" s="9" t="s">
        <v>16</v>
      </c>
      <c r="C74" s="9" t="s">
        <v>423</v>
      </c>
      <c r="D74" s="9" t="s">
        <v>59</v>
      </c>
      <c r="E74" s="9" t="s">
        <v>167</v>
      </c>
      <c r="F74" s="9" t="s">
        <v>37</v>
      </c>
      <c r="G74" s="9" t="s">
        <v>429</v>
      </c>
      <c r="H74" s="9" t="s">
        <v>430</v>
      </c>
      <c r="I74" s="9" t="s">
        <v>80</v>
      </c>
      <c r="J74" s="9" t="s">
        <v>668</v>
      </c>
      <c r="K74" s="10" t="s">
        <v>28</v>
      </c>
      <c r="L74" s="11" t="s">
        <v>3</v>
      </c>
      <c r="M74" s="12" t="s">
        <v>669</v>
      </c>
    </row>
    <row r="75" spans="1:13" s="20" customFormat="1" ht="37.5" customHeight="1" x14ac:dyDescent="0.45">
      <c r="A75" s="8" t="s">
        <v>431</v>
      </c>
      <c r="B75" s="9" t="s">
        <v>16</v>
      </c>
      <c r="C75" s="9" t="s">
        <v>432</v>
      </c>
      <c r="D75" s="9" t="s">
        <v>59</v>
      </c>
      <c r="E75" s="9" t="s">
        <v>167</v>
      </c>
      <c r="F75" s="9" t="s">
        <v>34</v>
      </c>
      <c r="G75" s="9" t="s">
        <v>433</v>
      </c>
      <c r="H75" s="9" t="s">
        <v>434</v>
      </c>
      <c r="I75" s="9" t="s">
        <v>80</v>
      </c>
      <c r="J75" s="9" t="s">
        <v>435</v>
      </c>
      <c r="K75" s="13" t="s">
        <v>29</v>
      </c>
      <c r="L75" s="11" t="s">
        <v>3</v>
      </c>
      <c r="M75" s="12" t="s">
        <v>669</v>
      </c>
    </row>
    <row r="76" spans="1:13" s="20" customFormat="1" ht="37.5" customHeight="1" x14ac:dyDescent="0.45">
      <c r="A76" s="8" t="s">
        <v>436</v>
      </c>
      <c r="B76" s="9" t="s">
        <v>17</v>
      </c>
      <c r="C76" s="9" t="s">
        <v>437</v>
      </c>
      <c r="D76" s="9" t="s">
        <v>191</v>
      </c>
      <c r="E76" s="9" t="s">
        <v>167</v>
      </c>
      <c r="F76" s="9" t="s">
        <v>34</v>
      </c>
      <c r="G76" s="9" t="s">
        <v>438</v>
      </c>
      <c r="H76" s="9" t="s">
        <v>175</v>
      </c>
      <c r="I76" s="9" t="s">
        <v>80</v>
      </c>
      <c r="J76" s="9" t="s">
        <v>439</v>
      </c>
      <c r="K76" s="13" t="s">
        <v>29</v>
      </c>
      <c r="L76" s="11" t="s">
        <v>3</v>
      </c>
      <c r="M76" s="12" t="s">
        <v>440</v>
      </c>
    </row>
    <row r="77" spans="1:13" s="20" customFormat="1" ht="37.5" customHeight="1" x14ac:dyDescent="0.45">
      <c r="A77" s="8" t="s">
        <v>441</v>
      </c>
      <c r="B77" s="9" t="s">
        <v>17</v>
      </c>
      <c r="C77" s="9" t="s">
        <v>437</v>
      </c>
      <c r="D77" s="9" t="s">
        <v>191</v>
      </c>
      <c r="E77" s="9" t="s">
        <v>60</v>
      </c>
      <c r="F77" s="9" t="s">
        <v>35</v>
      </c>
      <c r="G77" s="9" t="s">
        <v>304</v>
      </c>
      <c r="H77" s="9" t="s">
        <v>80</v>
      </c>
      <c r="I77" s="9" t="s">
        <v>80</v>
      </c>
      <c r="J77" s="9" t="s">
        <v>442</v>
      </c>
      <c r="K77" s="10" t="s">
        <v>28</v>
      </c>
      <c r="L77" s="11" t="s">
        <v>3</v>
      </c>
      <c r="M77" s="12"/>
    </row>
    <row r="78" spans="1:13" s="20" customFormat="1" ht="37.5" customHeight="1" x14ac:dyDescent="0.45">
      <c r="A78" s="8" t="s">
        <v>443</v>
      </c>
      <c r="B78" s="9" t="s">
        <v>17</v>
      </c>
      <c r="C78" s="9" t="s">
        <v>437</v>
      </c>
      <c r="D78" s="9" t="s">
        <v>59</v>
      </c>
      <c r="E78" s="9" t="s">
        <v>167</v>
      </c>
      <c r="F78" s="9" t="s">
        <v>34</v>
      </c>
      <c r="G78" s="9" t="s">
        <v>444</v>
      </c>
      <c r="H78" s="9" t="s">
        <v>445</v>
      </c>
      <c r="I78" s="9" t="s">
        <v>446</v>
      </c>
      <c r="J78" s="9" t="s">
        <v>447</v>
      </c>
      <c r="K78" s="13" t="s">
        <v>29</v>
      </c>
      <c r="L78" s="15" t="s">
        <v>6</v>
      </c>
      <c r="M78" s="12" t="s">
        <v>448</v>
      </c>
    </row>
    <row r="79" spans="1:13" s="20" customFormat="1" ht="37.5" customHeight="1" x14ac:dyDescent="0.45">
      <c r="A79" s="8" t="s">
        <v>449</v>
      </c>
      <c r="B79" s="9" t="s">
        <v>17</v>
      </c>
      <c r="C79" s="9" t="s">
        <v>450</v>
      </c>
      <c r="D79" s="9" t="s">
        <v>59</v>
      </c>
      <c r="E79" s="9" t="s">
        <v>167</v>
      </c>
      <c r="F79" s="9" t="s">
        <v>34</v>
      </c>
      <c r="G79" s="9" t="s">
        <v>451</v>
      </c>
      <c r="H79" s="9" t="s">
        <v>80</v>
      </c>
      <c r="I79" s="9" t="s">
        <v>446</v>
      </c>
      <c r="J79" s="9" t="s">
        <v>452</v>
      </c>
      <c r="K79" s="11" t="s">
        <v>30</v>
      </c>
      <c r="L79" s="11" t="s">
        <v>3</v>
      </c>
      <c r="M79" s="12" t="s">
        <v>666</v>
      </c>
    </row>
    <row r="80" spans="1:13" s="20" customFormat="1" ht="37.5" customHeight="1" x14ac:dyDescent="0.45">
      <c r="A80" s="8" t="s">
        <v>453</v>
      </c>
      <c r="B80" s="9" t="s">
        <v>17</v>
      </c>
      <c r="C80" s="9" t="s">
        <v>454</v>
      </c>
      <c r="D80" s="9" t="s">
        <v>191</v>
      </c>
      <c r="E80" s="9" t="s">
        <v>167</v>
      </c>
      <c r="F80" s="9" t="s">
        <v>37</v>
      </c>
      <c r="G80" s="9" t="s">
        <v>455</v>
      </c>
      <c r="H80" s="9" t="s">
        <v>456</v>
      </c>
      <c r="I80" s="9" t="s">
        <v>80</v>
      </c>
      <c r="J80" s="9" t="s">
        <v>667</v>
      </c>
      <c r="K80" s="10" t="s">
        <v>28</v>
      </c>
      <c r="L80" s="11" t="s">
        <v>3</v>
      </c>
      <c r="M80" s="12" t="s">
        <v>457</v>
      </c>
    </row>
    <row r="81" spans="1:13" s="20" customFormat="1" ht="37.5" customHeight="1" x14ac:dyDescent="0.45">
      <c r="A81" s="8" t="s">
        <v>458</v>
      </c>
      <c r="B81" s="9" t="s">
        <v>17</v>
      </c>
      <c r="C81" s="9" t="s">
        <v>454</v>
      </c>
      <c r="D81" s="9" t="s">
        <v>59</v>
      </c>
      <c r="E81" s="9" t="s">
        <v>167</v>
      </c>
      <c r="F81" s="9" t="s">
        <v>34</v>
      </c>
      <c r="G81" s="9" t="s">
        <v>459</v>
      </c>
      <c r="H81" s="9" t="s">
        <v>460</v>
      </c>
      <c r="I81" s="9" t="s">
        <v>461</v>
      </c>
      <c r="J81" s="9" t="s">
        <v>462</v>
      </c>
      <c r="K81" s="13" t="s">
        <v>29</v>
      </c>
      <c r="L81" s="11" t="s">
        <v>3</v>
      </c>
      <c r="M81" s="12" t="s">
        <v>463</v>
      </c>
    </row>
    <row r="82" spans="1:13" s="20" customFormat="1" ht="37.5" customHeight="1" x14ac:dyDescent="0.45">
      <c r="A82" s="8" t="s">
        <v>464</v>
      </c>
      <c r="B82" s="9" t="s">
        <v>17</v>
      </c>
      <c r="C82" s="9" t="s">
        <v>454</v>
      </c>
      <c r="D82" s="9" t="s">
        <v>59</v>
      </c>
      <c r="E82" s="9" t="s">
        <v>167</v>
      </c>
      <c r="F82" s="9" t="s">
        <v>37</v>
      </c>
      <c r="G82" s="9" t="s">
        <v>465</v>
      </c>
      <c r="H82" s="9" t="s">
        <v>460</v>
      </c>
      <c r="I82" s="9" t="s">
        <v>466</v>
      </c>
      <c r="J82" s="9" t="s">
        <v>467</v>
      </c>
      <c r="K82" s="13" t="s">
        <v>29</v>
      </c>
      <c r="L82" s="11" t="s">
        <v>3</v>
      </c>
      <c r="M82" s="12" t="s">
        <v>468</v>
      </c>
    </row>
    <row r="83" spans="1:13" s="20" customFormat="1" ht="37.5" customHeight="1" x14ac:dyDescent="0.45">
      <c r="A83" s="8" t="s">
        <v>469</v>
      </c>
      <c r="B83" s="9" t="s">
        <v>17</v>
      </c>
      <c r="C83" s="9" t="s">
        <v>454</v>
      </c>
      <c r="D83" s="9" t="s">
        <v>59</v>
      </c>
      <c r="E83" s="9" t="s">
        <v>167</v>
      </c>
      <c r="F83" s="9" t="s">
        <v>36</v>
      </c>
      <c r="G83" s="9" t="s">
        <v>470</v>
      </c>
      <c r="H83" s="9" t="s">
        <v>460</v>
      </c>
      <c r="I83" s="9" t="s">
        <v>471</v>
      </c>
      <c r="J83" s="9" t="s">
        <v>472</v>
      </c>
      <c r="K83" s="11" t="s">
        <v>30</v>
      </c>
      <c r="L83" s="11" t="s">
        <v>3</v>
      </c>
      <c r="M83" s="12" t="s">
        <v>473</v>
      </c>
    </row>
    <row r="84" spans="1:13" s="20" customFormat="1" ht="37.5" customHeight="1" x14ac:dyDescent="0.45">
      <c r="A84" s="8" t="s">
        <v>474</v>
      </c>
      <c r="B84" s="9" t="s">
        <v>18</v>
      </c>
      <c r="C84" s="9" t="s">
        <v>475</v>
      </c>
      <c r="D84" s="9" t="s">
        <v>191</v>
      </c>
      <c r="E84" s="9" t="s">
        <v>167</v>
      </c>
      <c r="F84" s="9" t="s">
        <v>34</v>
      </c>
      <c r="G84" s="9" t="s">
        <v>476</v>
      </c>
      <c r="H84" s="9" t="s">
        <v>175</v>
      </c>
      <c r="I84" s="9" t="s">
        <v>80</v>
      </c>
      <c r="J84" s="9" t="s">
        <v>477</v>
      </c>
      <c r="K84" s="11" t="s">
        <v>30</v>
      </c>
      <c r="L84" s="11" t="s">
        <v>3</v>
      </c>
      <c r="M84" s="12" t="s">
        <v>478</v>
      </c>
    </row>
    <row r="85" spans="1:13" s="20" customFormat="1" ht="37.5" customHeight="1" x14ac:dyDescent="0.45">
      <c r="A85" s="8" t="s">
        <v>479</v>
      </c>
      <c r="B85" s="9" t="s">
        <v>18</v>
      </c>
      <c r="C85" s="9" t="s">
        <v>480</v>
      </c>
      <c r="D85" s="9" t="s">
        <v>191</v>
      </c>
      <c r="E85" s="9" t="s">
        <v>167</v>
      </c>
      <c r="F85" s="9" t="s">
        <v>34</v>
      </c>
      <c r="G85" s="9" t="s">
        <v>481</v>
      </c>
      <c r="H85" s="9" t="s">
        <v>482</v>
      </c>
      <c r="I85" s="9" t="s">
        <v>80</v>
      </c>
      <c r="J85" s="9" t="s">
        <v>483</v>
      </c>
      <c r="K85" s="11" t="s">
        <v>30</v>
      </c>
      <c r="L85" s="11" t="s">
        <v>3</v>
      </c>
      <c r="M85" s="12" t="s">
        <v>484</v>
      </c>
    </row>
    <row r="86" spans="1:13" s="20" customFormat="1" ht="37.5" customHeight="1" x14ac:dyDescent="0.45">
      <c r="A86" s="8" t="s">
        <v>485</v>
      </c>
      <c r="B86" s="9" t="s">
        <v>18</v>
      </c>
      <c r="C86" s="9" t="s">
        <v>486</v>
      </c>
      <c r="D86" s="9" t="s">
        <v>59</v>
      </c>
      <c r="E86" s="9" t="s">
        <v>167</v>
      </c>
      <c r="F86" s="9" t="s">
        <v>34</v>
      </c>
      <c r="G86" s="9" t="s">
        <v>487</v>
      </c>
      <c r="H86" s="9" t="s">
        <v>488</v>
      </c>
      <c r="I86" s="9" t="s">
        <v>489</v>
      </c>
      <c r="J86" s="9" t="s">
        <v>490</v>
      </c>
      <c r="K86" s="11" t="s">
        <v>30</v>
      </c>
      <c r="L86" s="11" t="s">
        <v>3</v>
      </c>
      <c r="M86" s="12"/>
    </row>
    <row r="87" spans="1:13" s="20" customFormat="1" ht="37.5" customHeight="1" x14ac:dyDescent="0.45">
      <c r="A87" s="8" t="s">
        <v>491</v>
      </c>
      <c r="B87" s="9" t="s">
        <v>18</v>
      </c>
      <c r="C87" s="9" t="s">
        <v>492</v>
      </c>
      <c r="D87" s="9" t="s">
        <v>59</v>
      </c>
      <c r="E87" s="9" t="s">
        <v>167</v>
      </c>
      <c r="F87" s="9" t="s">
        <v>37</v>
      </c>
      <c r="G87" s="9" t="s">
        <v>493</v>
      </c>
      <c r="H87" s="9" t="s">
        <v>494</v>
      </c>
      <c r="I87" s="9" t="s">
        <v>80</v>
      </c>
      <c r="J87" s="9" t="s">
        <v>657</v>
      </c>
      <c r="K87" s="13" t="s">
        <v>29</v>
      </c>
      <c r="L87" s="11" t="s">
        <v>3</v>
      </c>
      <c r="M87" s="12" t="s">
        <v>495</v>
      </c>
    </row>
    <row r="88" spans="1:13" s="20" customFormat="1" ht="37.5" customHeight="1" x14ac:dyDescent="0.45">
      <c r="A88" s="8" t="s">
        <v>496</v>
      </c>
      <c r="B88" s="9" t="s">
        <v>18</v>
      </c>
      <c r="C88" s="9" t="s">
        <v>497</v>
      </c>
      <c r="D88" s="9" t="s">
        <v>59</v>
      </c>
      <c r="E88" s="9" t="s">
        <v>167</v>
      </c>
      <c r="F88" s="9" t="s">
        <v>34</v>
      </c>
      <c r="G88" s="9" t="s">
        <v>498</v>
      </c>
      <c r="H88" s="9" t="s">
        <v>175</v>
      </c>
      <c r="I88" s="9" t="s">
        <v>80</v>
      </c>
      <c r="J88" s="9" t="s">
        <v>499</v>
      </c>
      <c r="K88" s="11" t="s">
        <v>30</v>
      </c>
      <c r="L88" s="11" t="s">
        <v>3</v>
      </c>
      <c r="M88" s="12" t="s">
        <v>500</v>
      </c>
    </row>
    <row r="89" spans="1:13" s="20" customFormat="1" ht="37.5" customHeight="1" x14ac:dyDescent="0.45">
      <c r="A89" s="8" t="s">
        <v>501</v>
      </c>
      <c r="B89" s="9" t="s">
        <v>19</v>
      </c>
      <c r="C89" s="9" t="s">
        <v>502</v>
      </c>
      <c r="D89" s="9" t="s">
        <v>191</v>
      </c>
      <c r="E89" s="9" t="s">
        <v>167</v>
      </c>
      <c r="F89" s="9" t="s">
        <v>34</v>
      </c>
      <c r="G89" s="9" t="s">
        <v>503</v>
      </c>
      <c r="H89" s="9" t="s">
        <v>175</v>
      </c>
      <c r="I89" s="9" t="s">
        <v>80</v>
      </c>
      <c r="J89" s="9" t="s">
        <v>504</v>
      </c>
      <c r="K89" s="13" t="s">
        <v>29</v>
      </c>
      <c r="L89" s="11" t="s">
        <v>3</v>
      </c>
      <c r="M89" s="12" t="s">
        <v>505</v>
      </c>
    </row>
    <row r="90" spans="1:13" s="20" customFormat="1" ht="37.5" customHeight="1" x14ac:dyDescent="0.45">
      <c r="A90" s="8" t="s">
        <v>506</v>
      </c>
      <c r="B90" s="9" t="s">
        <v>19</v>
      </c>
      <c r="C90" s="9" t="s">
        <v>507</v>
      </c>
      <c r="D90" s="9" t="s">
        <v>191</v>
      </c>
      <c r="E90" s="9" t="s">
        <v>167</v>
      </c>
      <c r="F90" s="9" t="s">
        <v>35</v>
      </c>
      <c r="G90" s="9" t="s">
        <v>508</v>
      </c>
      <c r="H90" s="9" t="s">
        <v>235</v>
      </c>
      <c r="I90" s="9" t="s">
        <v>80</v>
      </c>
      <c r="J90" s="9" t="s">
        <v>509</v>
      </c>
      <c r="K90" s="13" t="s">
        <v>29</v>
      </c>
      <c r="L90" s="11" t="s">
        <v>3</v>
      </c>
      <c r="M90" s="12" t="s">
        <v>510</v>
      </c>
    </row>
    <row r="91" spans="1:13" s="20" customFormat="1" ht="37.5" customHeight="1" x14ac:dyDescent="0.45">
      <c r="A91" s="8" t="s">
        <v>511</v>
      </c>
      <c r="B91" s="9" t="s">
        <v>19</v>
      </c>
      <c r="C91" s="9" t="s">
        <v>512</v>
      </c>
      <c r="D91" s="9" t="s">
        <v>191</v>
      </c>
      <c r="E91" s="9" t="s">
        <v>167</v>
      </c>
      <c r="F91" s="9" t="s">
        <v>35</v>
      </c>
      <c r="G91" s="9" t="s">
        <v>513</v>
      </c>
      <c r="H91" s="9" t="s">
        <v>300</v>
      </c>
      <c r="I91" s="9" t="s">
        <v>80</v>
      </c>
      <c r="J91" s="9" t="s">
        <v>509</v>
      </c>
      <c r="K91" s="13" t="s">
        <v>29</v>
      </c>
      <c r="L91" s="11" t="s">
        <v>3</v>
      </c>
      <c r="M91" s="12" t="s">
        <v>514</v>
      </c>
    </row>
    <row r="92" spans="1:13" s="20" customFormat="1" ht="37.5" customHeight="1" x14ac:dyDescent="0.45">
      <c r="A92" s="8" t="s">
        <v>515</v>
      </c>
      <c r="B92" s="9" t="s">
        <v>19</v>
      </c>
      <c r="C92" s="9" t="s">
        <v>516</v>
      </c>
      <c r="D92" s="9" t="s">
        <v>191</v>
      </c>
      <c r="E92" s="9" t="s">
        <v>167</v>
      </c>
      <c r="F92" s="9" t="s">
        <v>37</v>
      </c>
      <c r="G92" s="9" t="s">
        <v>517</v>
      </c>
      <c r="H92" s="9" t="s">
        <v>518</v>
      </c>
      <c r="I92" s="9" t="s">
        <v>80</v>
      </c>
      <c r="J92" s="9" t="s">
        <v>519</v>
      </c>
      <c r="K92" s="10" t="s">
        <v>28</v>
      </c>
      <c r="L92" s="11" t="s">
        <v>3</v>
      </c>
      <c r="M92" s="12" t="s">
        <v>665</v>
      </c>
    </row>
    <row r="93" spans="1:13" s="20" customFormat="1" ht="37.5" customHeight="1" x14ac:dyDescent="0.45">
      <c r="A93" s="8" t="s">
        <v>520</v>
      </c>
      <c r="B93" s="9" t="s">
        <v>20</v>
      </c>
      <c r="C93" s="9" t="s">
        <v>521</v>
      </c>
      <c r="D93" s="9" t="s">
        <v>191</v>
      </c>
      <c r="E93" s="9" t="s">
        <v>167</v>
      </c>
      <c r="F93" s="9" t="s">
        <v>35</v>
      </c>
      <c r="G93" s="9" t="s">
        <v>522</v>
      </c>
      <c r="H93" s="9" t="s">
        <v>235</v>
      </c>
      <c r="I93" s="9" t="s">
        <v>80</v>
      </c>
      <c r="J93" s="9" t="s">
        <v>509</v>
      </c>
      <c r="K93" s="13" t="s">
        <v>29</v>
      </c>
      <c r="L93" s="11" t="s">
        <v>3</v>
      </c>
      <c r="M93" s="12" t="s">
        <v>510</v>
      </c>
    </row>
    <row r="94" spans="1:13" s="20" customFormat="1" ht="37.5" customHeight="1" x14ac:dyDescent="0.45">
      <c r="A94" s="8" t="s">
        <v>523</v>
      </c>
      <c r="B94" s="9" t="s">
        <v>20</v>
      </c>
      <c r="C94" s="9" t="s">
        <v>524</v>
      </c>
      <c r="D94" s="9" t="s">
        <v>191</v>
      </c>
      <c r="E94" s="9" t="s">
        <v>167</v>
      </c>
      <c r="F94" s="9" t="s">
        <v>34</v>
      </c>
      <c r="G94" s="9" t="s">
        <v>525</v>
      </c>
      <c r="H94" s="9" t="s">
        <v>235</v>
      </c>
      <c r="I94" s="9" t="s">
        <v>80</v>
      </c>
      <c r="J94" s="9" t="s">
        <v>526</v>
      </c>
      <c r="K94" s="13" t="s">
        <v>29</v>
      </c>
      <c r="L94" s="11" t="s">
        <v>3</v>
      </c>
      <c r="M94" s="12" t="s">
        <v>527</v>
      </c>
    </row>
    <row r="95" spans="1:13" s="20" customFormat="1" ht="37.5" customHeight="1" x14ac:dyDescent="0.45">
      <c r="A95" s="8" t="s">
        <v>528</v>
      </c>
      <c r="B95" s="9" t="s">
        <v>21</v>
      </c>
      <c r="C95" s="9" t="s">
        <v>529</v>
      </c>
      <c r="D95" s="9" t="s">
        <v>191</v>
      </c>
      <c r="E95" s="9" t="s">
        <v>60</v>
      </c>
      <c r="F95" s="9" t="s">
        <v>34</v>
      </c>
      <c r="G95" s="9" t="s">
        <v>530</v>
      </c>
      <c r="H95" s="9" t="s">
        <v>80</v>
      </c>
      <c r="I95" s="9" t="s">
        <v>80</v>
      </c>
      <c r="J95" s="9" t="s">
        <v>531</v>
      </c>
      <c r="K95" s="11" t="s">
        <v>30</v>
      </c>
      <c r="L95" s="11" t="s">
        <v>3</v>
      </c>
      <c r="M95" s="12" t="s">
        <v>532</v>
      </c>
    </row>
    <row r="96" spans="1:13" s="20" customFormat="1" ht="37.5" customHeight="1" x14ac:dyDescent="0.45">
      <c r="A96" s="8" t="s">
        <v>533</v>
      </c>
      <c r="B96" s="9" t="s">
        <v>21</v>
      </c>
      <c r="C96" s="9" t="s">
        <v>534</v>
      </c>
      <c r="D96" s="9" t="s">
        <v>191</v>
      </c>
      <c r="E96" s="9" t="s">
        <v>167</v>
      </c>
      <c r="F96" s="9" t="s">
        <v>34</v>
      </c>
      <c r="G96" s="9" t="s">
        <v>535</v>
      </c>
      <c r="H96" s="9" t="s">
        <v>536</v>
      </c>
      <c r="I96" s="9" t="s">
        <v>80</v>
      </c>
      <c r="J96" s="9" t="s">
        <v>537</v>
      </c>
      <c r="K96" s="13" t="s">
        <v>29</v>
      </c>
      <c r="L96" s="11" t="s">
        <v>3</v>
      </c>
      <c r="M96" s="12" t="s">
        <v>538</v>
      </c>
    </row>
    <row r="97" spans="1:13" s="20" customFormat="1" ht="37.5" customHeight="1" x14ac:dyDescent="0.45">
      <c r="A97" s="8" t="s">
        <v>539</v>
      </c>
      <c r="B97" s="9" t="s">
        <v>21</v>
      </c>
      <c r="C97" s="9" t="s">
        <v>540</v>
      </c>
      <c r="D97" s="9" t="s">
        <v>59</v>
      </c>
      <c r="E97" s="9" t="s">
        <v>167</v>
      </c>
      <c r="F97" s="9" t="s">
        <v>34</v>
      </c>
      <c r="G97" s="9" t="s">
        <v>541</v>
      </c>
      <c r="H97" s="9" t="s">
        <v>542</v>
      </c>
      <c r="I97" s="9" t="s">
        <v>543</v>
      </c>
      <c r="J97" s="9" t="s">
        <v>544</v>
      </c>
      <c r="K97" s="13" t="s">
        <v>29</v>
      </c>
      <c r="L97" s="11" t="s">
        <v>3</v>
      </c>
      <c r="M97" s="12" t="s">
        <v>545</v>
      </c>
    </row>
    <row r="98" spans="1:13" s="20" customFormat="1" ht="37.5" customHeight="1" x14ac:dyDescent="0.45">
      <c r="A98" s="8" t="s">
        <v>546</v>
      </c>
      <c r="B98" s="9" t="s">
        <v>21</v>
      </c>
      <c r="C98" s="9" t="s">
        <v>540</v>
      </c>
      <c r="D98" s="9" t="s">
        <v>59</v>
      </c>
      <c r="E98" s="9" t="s">
        <v>167</v>
      </c>
      <c r="F98" s="9" t="s">
        <v>35</v>
      </c>
      <c r="G98" s="9" t="s">
        <v>547</v>
      </c>
      <c r="H98" s="9" t="s">
        <v>175</v>
      </c>
      <c r="I98" s="9" t="s">
        <v>548</v>
      </c>
      <c r="J98" s="9" t="s">
        <v>549</v>
      </c>
      <c r="K98" s="11" t="s">
        <v>30</v>
      </c>
      <c r="L98" s="11" t="s">
        <v>3</v>
      </c>
      <c r="M98" s="12" t="s">
        <v>550</v>
      </c>
    </row>
    <row r="99" spans="1:13" s="20" customFormat="1" ht="37.5" customHeight="1" x14ac:dyDescent="0.45">
      <c r="A99" s="8" t="s">
        <v>551</v>
      </c>
      <c r="B99" s="9" t="s">
        <v>21</v>
      </c>
      <c r="C99" s="9" t="s">
        <v>552</v>
      </c>
      <c r="D99" s="9" t="s">
        <v>59</v>
      </c>
      <c r="E99" s="9" t="s">
        <v>167</v>
      </c>
      <c r="F99" s="9" t="s">
        <v>34</v>
      </c>
      <c r="G99" s="9" t="s">
        <v>553</v>
      </c>
      <c r="H99" s="9" t="s">
        <v>554</v>
      </c>
      <c r="I99" s="9" t="s">
        <v>80</v>
      </c>
      <c r="J99" s="9" t="s">
        <v>555</v>
      </c>
      <c r="K99" s="11" t="s">
        <v>30</v>
      </c>
      <c r="L99" s="11" t="s">
        <v>3</v>
      </c>
      <c r="M99" s="12" t="s">
        <v>664</v>
      </c>
    </row>
    <row r="100" spans="1:13" s="20" customFormat="1" ht="37.5" customHeight="1" x14ac:dyDescent="0.45">
      <c r="A100" s="8" t="s">
        <v>556</v>
      </c>
      <c r="B100" s="9" t="s">
        <v>21</v>
      </c>
      <c r="C100" s="9" t="s">
        <v>552</v>
      </c>
      <c r="D100" s="9" t="s">
        <v>59</v>
      </c>
      <c r="E100" s="9" t="s">
        <v>167</v>
      </c>
      <c r="F100" s="9" t="s">
        <v>35</v>
      </c>
      <c r="G100" s="9" t="s">
        <v>557</v>
      </c>
      <c r="H100" s="9" t="s">
        <v>558</v>
      </c>
      <c r="I100" s="9" t="s">
        <v>80</v>
      </c>
      <c r="J100" s="9" t="s">
        <v>559</v>
      </c>
      <c r="K100" s="11" t="s">
        <v>30</v>
      </c>
      <c r="L100" s="11" t="s">
        <v>3</v>
      </c>
      <c r="M100" s="12" t="s">
        <v>560</v>
      </c>
    </row>
    <row r="101" spans="1:13" s="20" customFormat="1" ht="37.5" customHeight="1" x14ac:dyDescent="0.45">
      <c r="A101" s="8" t="s">
        <v>561</v>
      </c>
      <c r="B101" s="9" t="s">
        <v>22</v>
      </c>
      <c r="C101" s="9" t="s">
        <v>562</v>
      </c>
      <c r="D101" s="9" t="s">
        <v>191</v>
      </c>
      <c r="E101" s="9" t="s">
        <v>167</v>
      </c>
      <c r="F101" s="9" t="s">
        <v>34</v>
      </c>
      <c r="G101" s="9" t="s">
        <v>563</v>
      </c>
      <c r="H101" s="9" t="s">
        <v>175</v>
      </c>
      <c r="I101" s="9" t="s">
        <v>80</v>
      </c>
      <c r="J101" s="9" t="s">
        <v>564</v>
      </c>
      <c r="K101" s="11" t="s">
        <v>30</v>
      </c>
      <c r="L101" s="11" t="s">
        <v>3</v>
      </c>
      <c r="M101" s="12" t="s">
        <v>565</v>
      </c>
    </row>
    <row r="102" spans="1:13" s="20" customFormat="1" ht="37.5" customHeight="1" x14ac:dyDescent="0.45">
      <c r="A102" s="8" t="s">
        <v>566</v>
      </c>
      <c r="B102" s="9" t="s">
        <v>22</v>
      </c>
      <c r="C102" s="9" t="s">
        <v>562</v>
      </c>
      <c r="D102" s="9" t="s">
        <v>59</v>
      </c>
      <c r="E102" s="9" t="s">
        <v>167</v>
      </c>
      <c r="F102" s="9" t="s">
        <v>36</v>
      </c>
      <c r="G102" s="9" t="s">
        <v>567</v>
      </c>
      <c r="H102" s="9" t="s">
        <v>175</v>
      </c>
      <c r="I102" s="9" t="s">
        <v>568</v>
      </c>
      <c r="J102" s="9" t="s">
        <v>569</v>
      </c>
      <c r="K102" s="14" t="s">
        <v>31</v>
      </c>
      <c r="L102" s="11" t="s">
        <v>3</v>
      </c>
      <c r="M102" s="12" t="s">
        <v>327</v>
      </c>
    </row>
    <row r="103" spans="1:13" s="20" customFormat="1" ht="37.5" customHeight="1" x14ac:dyDescent="0.45">
      <c r="A103" s="8" t="s">
        <v>570</v>
      </c>
      <c r="B103" s="9" t="s">
        <v>22</v>
      </c>
      <c r="C103" s="9" t="s">
        <v>571</v>
      </c>
      <c r="D103" s="9" t="s">
        <v>572</v>
      </c>
      <c r="E103" s="9" t="s">
        <v>167</v>
      </c>
      <c r="F103" s="9" t="s">
        <v>37</v>
      </c>
      <c r="G103" s="9" t="s">
        <v>573</v>
      </c>
      <c r="H103" s="9" t="s">
        <v>494</v>
      </c>
      <c r="I103" s="9" t="s">
        <v>80</v>
      </c>
      <c r="J103" s="9" t="s">
        <v>657</v>
      </c>
      <c r="K103" s="10" t="s">
        <v>28</v>
      </c>
      <c r="L103" s="11" t="s">
        <v>3</v>
      </c>
      <c r="M103" s="12" t="s">
        <v>574</v>
      </c>
    </row>
    <row r="104" spans="1:13" s="20" customFormat="1" ht="37.5" customHeight="1" x14ac:dyDescent="0.45">
      <c r="A104" s="8" t="s">
        <v>575</v>
      </c>
      <c r="B104" s="9" t="s">
        <v>23</v>
      </c>
      <c r="C104" s="9" t="s">
        <v>576</v>
      </c>
      <c r="D104" s="9" t="s">
        <v>191</v>
      </c>
      <c r="E104" s="9" t="s">
        <v>167</v>
      </c>
      <c r="F104" s="9" t="s">
        <v>34</v>
      </c>
      <c r="G104" s="9" t="s">
        <v>577</v>
      </c>
      <c r="H104" s="9" t="s">
        <v>235</v>
      </c>
      <c r="I104" s="9" t="s">
        <v>80</v>
      </c>
      <c r="J104" s="9" t="s">
        <v>578</v>
      </c>
      <c r="K104" s="10" t="s">
        <v>28</v>
      </c>
      <c r="L104" s="11" t="s">
        <v>3</v>
      </c>
      <c r="M104" s="12" t="s">
        <v>579</v>
      </c>
    </row>
    <row r="105" spans="1:13" s="20" customFormat="1" ht="37.5" customHeight="1" x14ac:dyDescent="0.45">
      <c r="A105" s="8" t="s">
        <v>580</v>
      </c>
      <c r="B105" s="9" t="s">
        <v>23</v>
      </c>
      <c r="C105" s="9" t="s">
        <v>581</v>
      </c>
      <c r="D105" s="9" t="s">
        <v>191</v>
      </c>
      <c r="E105" s="9" t="s">
        <v>167</v>
      </c>
      <c r="F105" s="9" t="s">
        <v>34</v>
      </c>
      <c r="G105" s="9" t="s">
        <v>582</v>
      </c>
      <c r="H105" s="9" t="s">
        <v>175</v>
      </c>
      <c r="I105" s="9" t="s">
        <v>80</v>
      </c>
      <c r="J105" s="9" t="s">
        <v>583</v>
      </c>
      <c r="K105" s="10" t="s">
        <v>28</v>
      </c>
      <c r="L105" s="11" t="s">
        <v>3</v>
      </c>
      <c r="M105" s="12" t="s">
        <v>584</v>
      </c>
    </row>
    <row r="106" spans="1:13" s="20" customFormat="1" ht="37.5" customHeight="1" x14ac:dyDescent="0.45">
      <c r="A106" s="8" t="s">
        <v>585</v>
      </c>
      <c r="B106" s="9" t="s">
        <v>23</v>
      </c>
      <c r="C106" s="9" t="s">
        <v>586</v>
      </c>
      <c r="D106" s="9" t="s">
        <v>59</v>
      </c>
      <c r="E106" s="9" t="s">
        <v>167</v>
      </c>
      <c r="F106" s="9" t="s">
        <v>34</v>
      </c>
      <c r="G106" s="9" t="s">
        <v>587</v>
      </c>
      <c r="H106" s="9" t="s">
        <v>588</v>
      </c>
      <c r="I106" s="9" t="s">
        <v>589</v>
      </c>
      <c r="J106" s="9" t="s">
        <v>590</v>
      </c>
      <c r="K106" s="10" t="s">
        <v>28</v>
      </c>
      <c r="L106" s="11" t="s">
        <v>3</v>
      </c>
      <c r="M106" s="12" t="s">
        <v>591</v>
      </c>
    </row>
    <row r="107" spans="1:13" s="20" customFormat="1" ht="37.5" customHeight="1" x14ac:dyDescent="0.45">
      <c r="A107" s="8" t="s">
        <v>592</v>
      </c>
      <c r="B107" s="9" t="s">
        <v>23</v>
      </c>
      <c r="C107" s="9" t="s">
        <v>586</v>
      </c>
      <c r="D107" s="9" t="s">
        <v>59</v>
      </c>
      <c r="E107" s="9" t="s">
        <v>167</v>
      </c>
      <c r="F107" s="9" t="s">
        <v>35</v>
      </c>
      <c r="G107" s="9" t="s">
        <v>593</v>
      </c>
      <c r="H107" s="9" t="s">
        <v>594</v>
      </c>
      <c r="I107" s="9" t="s">
        <v>595</v>
      </c>
      <c r="J107" s="9" t="s">
        <v>663</v>
      </c>
      <c r="K107" s="10" t="s">
        <v>28</v>
      </c>
      <c r="L107" s="11" t="s">
        <v>3</v>
      </c>
      <c r="M107" s="12" t="s">
        <v>596</v>
      </c>
    </row>
    <row r="108" spans="1:13" s="20" customFormat="1" ht="37.5" customHeight="1" x14ac:dyDescent="0.45">
      <c r="A108" s="8" t="s">
        <v>597</v>
      </c>
      <c r="B108" s="9" t="s">
        <v>23</v>
      </c>
      <c r="C108" s="9" t="s">
        <v>586</v>
      </c>
      <c r="D108" s="9" t="s">
        <v>59</v>
      </c>
      <c r="E108" s="9" t="s">
        <v>167</v>
      </c>
      <c r="F108" s="9" t="s">
        <v>36</v>
      </c>
      <c r="G108" s="9" t="s">
        <v>598</v>
      </c>
      <c r="H108" s="9" t="s">
        <v>175</v>
      </c>
      <c r="I108" s="9" t="s">
        <v>599</v>
      </c>
      <c r="J108" s="9" t="s">
        <v>210</v>
      </c>
      <c r="K108" s="10" t="s">
        <v>28</v>
      </c>
      <c r="L108" s="11" t="s">
        <v>3</v>
      </c>
      <c r="M108" s="12" t="s">
        <v>600</v>
      </c>
    </row>
    <row r="109" spans="1:13" s="20" customFormat="1" ht="37.5" customHeight="1" x14ac:dyDescent="0.45">
      <c r="A109" s="8" t="s">
        <v>601</v>
      </c>
      <c r="B109" s="9" t="s">
        <v>23</v>
      </c>
      <c r="C109" s="9" t="s">
        <v>586</v>
      </c>
      <c r="D109" s="9" t="s">
        <v>59</v>
      </c>
      <c r="E109" s="9" t="s">
        <v>60</v>
      </c>
      <c r="F109" s="9" t="s">
        <v>35</v>
      </c>
      <c r="G109" s="9" t="s">
        <v>304</v>
      </c>
      <c r="H109" s="9" t="s">
        <v>80</v>
      </c>
      <c r="I109" s="9" t="s">
        <v>80</v>
      </c>
      <c r="J109" s="9" t="s">
        <v>218</v>
      </c>
      <c r="K109" s="10" t="s">
        <v>28</v>
      </c>
      <c r="L109" s="11" t="s">
        <v>3</v>
      </c>
      <c r="M109" s="12"/>
    </row>
    <row r="110" spans="1:13" s="20" customFormat="1" ht="37.5" customHeight="1" x14ac:dyDescent="0.45">
      <c r="A110" s="8" t="s">
        <v>602</v>
      </c>
      <c r="B110" s="9" t="s">
        <v>24</v>
      </c>
      <c r="C110" s="9" t="s">
        <v>603</v>
      </c>
      <c r="D110" s="9" t="s">
        <v>191</v>
      </c>
      <c r="E110" s="9" t="s">
        <v>167</v>
      </c>
      <c r="F110" s="9" t="s">
        <v>34</v>
      </c>
      <c r="G110" s="9" t="s">
        <v>604</v>
      </c>
      <c r="H110" s="9" t="s">
        <v>175</v>
      </c>
      <c r="I110" s="9" t="s">
        <v>80</v>
      </c>
      <c r="J110" s="9" t="s">
        <v>605</v>
      </c>
      <c r="K110" s="10" t="s">
        <v>28</v>
      </c>
      <c r="L110" s="11" t="s">
        <v>3</v>
      </c>
      <c r="M110" s="12" t="s">
        <v>606</v>
      </c>
    </row>
    <row r="111" spans="1:13" s="20" customFormat="1" ht="37.5" customHeight="1" x14ac:dyDescent="0.45">
      <c r="A111" s="8" t="s">
        <v>607</v>
      </c>
      <c r="B111" s="9" t="s">
        <v>24</v>
      </c>
      <c r="C111" s="9" t="s">
        <v>608</v>
      </c>
      <c r="D111" s="9" t="s">
        <v>59</v>
      </c>
      <c r="E111" s="9" t="s">
        <v>167</v>
      </c>
      <c r="F111" s="9" t="s">
        <v>34</v>
      </c>
      <c r="G111" s="9" t="s">
        <v>609</v>
      </c>
      <c r="H111" s="9" t="s">
        <v>175</v>
      </c>
      <c r="I111" s="9" t="s">
        <v>610</v>
      </c>
      <c r="J111" s="9" t="s">
        <v>611</v>
      </c>
      <c r="K111" s="13" t="s">
        <v>29</v>
      </c>
      <c r="L111" s="11" t="s">
        <v>3</v>
      </c>
      <c r="M111" s="12" t="s">
        <v>612</v>
      </c>
    </row>
    <row r="112" spans="1:13" s="20" customFormat="1" ht="37.5" customHeight="1" x14ac:dyDescent="0.45">
      <c r="A112" s="8" t="s">
        <v>613</v>
      </c>
      <c r="B112" s="9" t="s">
        <v>24</v>
      </c>
      <c r="C112" s="9" t="s">
        <v>608</v>
      </c>
      <c r="D112" s="9" t="s">
        <v>59</v>
      </c>
      <c r="E112" s="9" t="s">
        <v>167</v>
      </c>
      <c r="F112" s="9" t="s">
        <v>37</v>
      </c>
      <c r="G112" s="9" t="s">
        <v>614</v>
      </c>
      <c r="H112" s="9" t="s">
        <v>175</v>
      </c>
      <c r="I112" s="9" t="s">
        <v>615</v>
      </c>
      <c r="J112" s="9" t="s">
        <v>472</v>
      </c>
      <c r="K112" s="13" t="s">
        <v>29</v>
      </c>
      <c r="L112" s="11" t="s">
        <v>3</v>
      </c>
      <c r="M112" s="12" t="s">
        <v>616</v>
      </c>
    </row>
    <row r="113" spans="1:13" s="20" customFormat="1" ht="37.5" customHeight="1" x14ac:dyDescent="0.45">
      <c r="A113" s="8" t="s">
        <v>617</v>
      </c>
      <c r="B113" s="9" t="s">
        <v>24</v>
      </c>
      <c r="C113" s="9" t="s">
        <v>618</v>
      </c>
      <c r="D113" s="9" t="s">
        <v>572</v>
      </c>
      <c r="E113" s="9" t="s">
        <v>167</v>
      </c>
      <c r="F113" s="9" t="s">
        <v>37</v>
      </c>
      <c r="G113" s="9" t="s">
        <v>619</v>
      </c>
      <c r="H113" s="9" t="s">
        <v>494</v>
      </c>
      <c r="I113" s="9" t="s">
        <v>80</v>
      </c>
      <c r="J113" s="9" t="s">
        <v>657</v>
      </c>
      <c r="K113" s="10" t="s">
        <v>28</v>
      </c>
      <c r="L113" s="11" t="s">
        <v>3</v>
      </c>
      <c r="M113" s="12" t="s">
        <v>620</v>
      </c>
    </row>
    <row r="114" spans="1:13" s="20" customFormat="1" ht="37.5" customHeight="1" x14ac:dyDescent="0.45">
      <c r="A114" s="8" t="s">
        <v>621</v>
      </c>
      <c r="B114" s="9" t="s">
        <v>24</v>
      </c>
      <c r="C114" s="9" t="s">
        <v>622</v>
      </c>
      <c r="D114" s="9" t="s">
        <v>59</v>
      </c>
      <c r="E114" s="9" t="s">
        <v>167</v>
      </c>
      <c r="F114" s="9" t="s">
        <v>37</v>
      </c>
      <c r="G114" s="9" t="s">
        <v>623</v>
      </c>
      <c r="H114" s="9" t="s">
        <v>494</v>
      </c>
      <c r="I114" s="9" t="s">
        <v>80</v>
      </c>
      <c r="J114" s="9" t="s">
        <v>657</v>
      </c>
      <c r="K114" s="10" t="s">
        <v>28</v>
      </c>
      <c r="L114" s="11" t="s">
        <v>3</v>
      </c>
      <c r="M114" s="12" t="s">
        <v>620</v>
      </c>
    </row>
    <row r="115" spans="1:13" s="20" customFormat="1" ht="37.5" customHeight="1" x14ac:dyDescent="0.45">
      <c r="A115" s="8" t="s">
        <v>624</v>
      </c>
      <c r="B115" s="9" t="s">
        <v>25</v>
      </c>
      <c r="C115" s="9" t="s">
        <v>625</v>
      </c>
      <c r="D115" s="9" t="s">
        <v>191</v>
      </c>
      <c r="E115" s="9" t="s">
        <v>60</v>
      </c>
      <c r="F115" s="9" t="s">
        <v>34</v>
      </c>
      <c r="G115" s="9" t="s">
        <v>626</v>
      </c>
      <c r="H115" s="9" t="s">
        <v>80</v>
      </c>
      <c r="I115" s="9" t="s">
        <v>80</v>
      </c>
      <c r="J115" s="9" t="s">
        <v>627</v>
      </c>
      <c r="K115" s="14" t="s">
        <v>31</v>
      </c>
      <c r="L115" s="11" t="s">
        <v>3</v>
      </c>
      <c r="M115" s="12" t="s">
        <v>628</v>
      </c>
    </row>
    <row r="116" spans="1:13" s="20" customFormat="1" ht="37.5" customHeight="1" x14ac:dyDescent="0.45">
      <c r="A116" s="8" t="s">
        <v>629</v>
      </c>
      <c r="B116" s="9" t="s">
        <v>25</v>
      </c>
      <c r="C116" s="9" t="s">
        <v>630</v>
      </c>
      <c r="D116" s="9" t="s">
        <v>631</v>
      </c>
      <c r="E116" s="9" t="s">
        <v>167</v>
      </c>
      <c r="F116" s="9" t="s">
        <v>37</v>
      </c>
      <c r="G116" s="9" t="s">
        <v>632</v>
      </c>
      <c r="H116" s="9" t="s">
        <v>80</v>
      </c>
      <c r="I116" s="9" t="s">
        <v>633</v>
      </c>
      <c r="J116" s="9" t="s">
        <v>187</v>
      </c>
      <c r="K116" s="10" t="s">
        <v>28</v>
      </c>
      <c r="L116" s="11" t="s">
        <v>3</v>
      </c>
      <c r="M116" s="12" t="s">
        <v>634</v>
      </c>
    </row>
    <row r="117" spans="1:13" s="20" customFormat="1" ht="37.5" customHeight="1" x14ac:dyDescent="0.45">
      <c r="A117" s="8" t="s">
        <v>635</v>
      </c>
      <c r="B117" s="9" t="s">
        <v>25</v>
      </c>
      <c r="C117" s="9" t="s">
        <v>636</v>
      </c>
      <c r="D117" s="9" t="s">
        <v>631</v>
      </c>
      <c r="E117" s="9" t="s">
        <v>60</v>
      </c>
      <c r="F117" s="9" t="s">
        <v>35</v>
      </c>
      <c r="G117" s="9" t="s">
        <v>637</v>
      </c>
      <c r="H117" s="9" t="s">
        <v>80</v>
      </c>
      <c r="I117" s="9" t="s">
        <v>638</v>
      </c>
      <c r="J117" s="9" t="s">
        <v>639</v>
      </c>
      <c r="K117" s="14" t="s">
        <v>31</v>
      </c>
      <c r="L117" s="11" t="s">
        <v>3</v>
      </c>
      <c r="M117" s="12" t="s">
        <v>640</v>
      </c>
    </row>
    <row r="118" spans="1:13" s="20" customFormat="1" ht="37.5" customHeight="1" x14ac:dyDescent="0.45">
      <c r="A118" s="8" t="s">
        <v>641</v>
      </c>
      <c r="B118" s="9" t="s">
        <v>25</v>
      </c>
      <c r="C118" s="9" t="s">
        <v>642</v>
      </c>
      <c r="D118" s="9" t="s">
        <v>643</v>
      </c>
      <c r="E118" s="9" t="s">
        <v>644</v>
      </c>
      <c r="F118" s="9" t="s">
        <v>35</v>
      </c>
      <c r="G118" s="9" t="s">
        <v>645</v>
      </c>
      <c r="H118" s="9" t="s">
        <v>80</v>
      </c>
      <c r="I118" s="9" t="s">
        <v>646</v>
      </c>
      <c r="J118" s="9" t="s">
        <v>647</v>
      </c>
      <c r="K118" s="13" t="s">
        <v>29</v>
      </c>
      <c r="L118" s="11" t="s">
        <v>3</v>
      </c>
      <c r="M118" s="12" t="s">
        <v>648</v>
      </c>
    </row>
    <row r="119" spans="1:13" s="20" customFormat="1" ht="37.5" customHeight="1" x14ac:dyDescent="0.45">
      <c r="A119" s="16" t="s">
        <v>649</v>
      </c>
      <c r="B119" s="17" t="s">
        <v>25</v>
      </c>
      <c r="C119" s="17" t="s">
        <v>650</v>
      </c>
      <c r="D119" s="17" t="s">
        <v>631</v>
      </c>
      <c r="E119" s="17" t="s">
        <v>60</v>
      </c>
      <c r="F119" s="17" t="s">
        <v>37</v>
      </c>
      <c r="G119" s="17" t="s">
        <v>651</v>
      </c>
      <c r="H119" s="17" t="s">
        <v>652</v>
      </c>
      <c r="I119" s="17" t="s">
        <v>653</v>
      </c>
      <c r="J119" s="17" t="s">
        <v>654</v>
      </c>
      <c r="K119" s="18" t="s">
        <v>30</v>
      </c>
      <c r="L119" s="18" t="s">
        <v>3</v>
      </c>
      <c r="M119" s="19" t="s">
        <v>655</v>
      </c>
    </row>
  </sheetData>
  <autoFilter ref="A1:M119" xr:uid="{00000000-0009-0000-0000-000001000000}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naila riani</cp:lastModifiedBy>
  <cp:revision>0</cp:revision>
  <dcterms:created xsi:type="dcterms:W3CDTF">2026-08-26T15:42:26Z</dcterms:created>
  <dcterms:modified xsi:type="dcterms:W3CDTF">2026-08-27T16:56:09Z</dcterms:modified>
  <dc:language>en-US</dc:language>
</cp:coreProperties>
</file>